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ntanton\Desktop\Competency Questions\"/>
    </mc:Choice>
  </mc:AlternateContent>
  <xr:revisionPtr revIDLastSave="0" documentId="13_ncr:1_{5D4D403C-8E62-4958-874F-729C8C8EB5A6}" xr6:coauthVersionLast="47" xr6:coauthVersionMax="47" xr10:uidLastSave="{00000000-0000-0000-0000-000000000000}"/>
  <bookViews>
    <workbookView xWindow="-120" yWindow="-120" windowWidth="38640" windowHeight="21120" tabRatio="983" activeTab="4" xr2:uid="{082BBC46-B487-4CB6-9F3F-BAC1D9F97FFA}"/>
  </bookViews>
  <sheets>
    <sheet name="Q1 results (Figures 11&amp;12)" sheetId="2" r:id="rId1"/>
    <sheet name="Figure 13 results" sheetId="19" r:id="rId2"/>
    <sheet name="Figures 15, 16, 17 results" sheetId="20" r:id="rId3"/>
    <sheet name="Figure 19 results" sheetId="21" r:id="rId4"/>
    <sheet name="Figure 23 results" sheetId="22" r:id="rId5"/>
    <sheet name="Q2 results (Figure 22)" sheetId="4" r:id="rId6"/>
    <sheet name="Q3 results (Figure 18)" sheetId="16" r:id="rId7"/>
    <sheet name="Q4 results (Figures 20 &amp; 21)" sheetId="17" r:id="rId8"/>
    <sheet name="Q5 results (Figure 14)" sheetId="18" r:id="rId9"/>
    <sheet name="Φύλλο15" sheetId="15" r:id="rId10"/>
    <sheet name="Q6 results" sheetId="5" r:id="rId11"/>
    <sheet name="Q7 results" sheetId="6" r:id="rId12"/>
    <sheet name="Q8 results" sheetId="13" r:id="rId13"/>
    <sheet name="Q9 results" sheetId="14" r:id="rId14"/>
    <sheet name="Q10 results" sheetId="7" r:id="rId15"/>
    <sheet name="Q11 results" sheetId="8" r:id="rId16"/>
    <sheet name="Q12 results" sheetId="9" r:id="rId17"/>
    <sheet name="Q13 results" sheetId="10" r:id="rId18"/>
    <sheet name="Q14 results" sheetId="11" r:id="rId19"/>
    <sheet name="Q15 results" sheetId="12" r:id="rId20"/>
  </sheets>
  <externalReferences>
    <externalReference r:id="rId21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2" l="1"/>
  <c r="J26" i="22"/>
  <c r="F26" i="22"/>
  <c r="D26" i="22"/>
  <c r="J25" i="22"/>
  <c r="L25" i="22" s="1"/>
  <c r="F25" i="22"/>
  <c r="D25" i="22"/>
  <c r="L24" i="22"/>
  <c r="J24" i="22"/>
  <c r="D24" i="22"/>
  <c r="F24" i="22" s="1"/>
  <c r="L23" i="22"/>
  <c r="J23" i="22"/>
  <c r="F23" i="22"/>
  <c r="D23" i="22"/>
  <c r="L22" i="22"/>
  <c r="J22" i="22"/>
  <c r="F22" i="22"/>
  <c r="D22" i="22"/>
  <c r="L21" i="22"/>
  <c r="J21" i="22"/>
  <c r="F21" i="22"/>
  <c r="D21" i="22"/>
  <c r="L20" i="22"/>
  <c r="J20" i="22"/>
  <c r="F20" i="22"/>
  <c r="D20" i="22"/>
  <c r="L19" i="22"/>
  <c r="J19" i="22"/>
  <c r="F19" i="22"/>
  <c r="D19" i="22"/>
  <c r="L18" i="22"/>
  <c r="J18" i="22"/>
  <c r="F18" i="22"/>
  <c r="D18" i="22"/>
  <c r="L17" i="22"/>
  <c r="J17" i="22"/>
  <c r="F17" i="22"/>
  <c r="D17" i="22"/>
  <c r="L16" i="22"/>
  <c r="J16" i="22"/>
  <c r="F16" i="22"/>
  <c r="D16" i="22"/>
  <c r="L15" i="22"/>
  <c r="J15" i="22"/>
  <c r="F15" i="22"/>
  <c r="D15" i="22"/>
  <c r="L14" i="22"/>
  <c r="J14" i="22"/>
  <c r="F14" i="22"/>
  <c r="D14" i="22"/>
  <c r="L13" i="22"/>
  <c r="J13" i="22"/>
  <c r="F13" i="22"/>
  <c r="D13" i="22"/>
  <c r="L12" i="22"/>
  <c r="J12" i="22"/>
  <c r="F12" i="22"/>
  <c r="D12" i="22"/>
  <c r="L11" i="22"/>
  <c r="J11" i="22"/>
  <c r="F11" i="22"/>
  <c r="D11" i="22"/>
  <c r="L10" i="22"/>
  <c r="J10" i="22"/>
  <c r="F10" i="22"/>
  <c r="D10" i="22"/>
  <c r="L9" i="22"/>
  <c r="J9" i="22"/>
  <c r="F9" i="22"/>
  <c r="D9" i="22"/>
  <c r="L8" i="22"/>
  <c r="J8" i="22"/>
  <c r="F8" i="22"/>
  <c r="D8" i="22"/>
  <c r="L7" i="22"/>
  <c r="J7" i="22"/>
  <c r="F7" i="22"/>
  <c r="D7" i="22"/>
  <c r="L6" i="22"/>
  <c r="J6" i="22"/>
  <c r="F6" i="22"/>
  <c r="D6" i="22"/>
  <c r="L5" i="22"/>
  <c r="J5" i="22"/>
  <c r="F5" i="22"/>
  <c r="D5" i="22"/>
  <c r="L4" i="22"/>
  <c r="J4" i="22"/>
  <c r="F4" i="22"/>
  <c r="D4" i="22"/>
  <c r="L3" i="22"/>
  <c r="J3" i="22"/>
  <c r="F3" i="22"/>
  <c r="D3" i="22"/>
  <c r="L2" i="22"/>
  <c r="J2" i="22"/>
  <c r="D2" i="22"/>
  <c r="F2" i="22" s="1"/>
  <c r="G2" i="22" s="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G7" i="21"/>
  <c r="F7" i="21"/>
  <c r="G6" i="21"/>
  <c r="F6" i="21"/>
  <c r="G5" i="21"/>
  <c r="F5" i="21"/>
  <c r="G4" i="21"/>
  <c r="F4" i="21"/>
  <c r="G3" i="21"/>
  <c r="F3" i="21"/>
  <c r="G2" i="21"/>
  <c r="F2" i="2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<sst xmlns="http://schemas.openxmlformats.org/spreadsheetml/2006/main" count="1497" uniqueCount="1203">
  <si>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</si>
  <si>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</si>
  <si>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</si>
  <si>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</si>
  <si>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</si>
  <si>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</si>
  <si>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</si>
  <si>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</si>
  <si>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</si>
  <si>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</si>
  <si>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</si>
  <si>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</si>
  <si>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</si>
  <si>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</si>
  <si>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</si>
  <si>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</si>
  <si>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</si>
  <si>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</si>
  <si>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</si>
  <si>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</si>
  <si>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</si>
  <si>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</si>
  <si>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</si>
  <si>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</si>
  <si>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</si>
  <si>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season</t>
  </si>
  <si>
    <t>3PTS MADE</t>
  </si>
  <si>
    <t>3PTS ATTEMPTED</t>
  </si>
  <si>
    <t>2PTS MADE</t>
  </si>
  <si>
    <t>2PTS ATTEMPTED</t>
  </si>
  <si>
    <t>FT MADE</t>
  </si>
  <si>
    <t>FT ATTEMPTED</t>
  </si>
  <si>
    <t>playerName</t>
  </si>
  <si>
    <t>callret-1</t>
  </si>
  <si>
    <t>"Wade Baldwin IV"</t>
  </si>
  <si>
    <t>"Chima Moneke"</t>
  </si>
  <si>
    <t>"Keenan Evans"</t>
  </si>
  <si>
    <t>"Facundo Campazzo"</t>
  </si>
  <si>
    <t>"Mike James"</t>
  </si>
  <si>
    <t>"Shane Larkin"</t>
  </si>
  <si>
    <t>"Kostas Sloukas"</t>
  </si>
  <si>
    <t>?playerName</t>
  </si>
  <si>
    <t>?reb</t>
  </si>
  <si>
    <t>?blocks</t>
  </si>
  <si>
    <t>"Walter Tavares"</t>
  </si>
  <si>
    <t>"Donta Hall"</t>
  </si>
  <si>
    <t>"Daniel Theis"</t>
  </si>
  <si>
    <t>"Khalifa Koumadje"</t>
  </si>
  <si>
    <t>"Joel Bolomboy"</t>
  </si>
  <si>
    <t>"Nikos Chougkaz"</t>
  </si>
  <si>
    <t>"Panagiotis Tsamis"</t>
  </si>
  <si>
    <t>"Dimitris Agravanis"</t>
  </si>
  <si>
    <t>"Vassilis Kikilias"</t>
  </si>
  <si>
    <t>"Nikolaos Rogkavopoulos"</t>
  </si>
  <si>
    <t>"Kostas Antetokounmpo"</t>
  </si>
  <si>
    <t>"Eleftherios Mantzoukas"</t>
  </si>
  <si>
    <t>"Konstantinos Mitoglou"</t>
  </si>
  <si>
    <t>"Kostas Papanikolaou"</t>
  </si>
  <si>
    <t>"Ioannis Papapetrou"</t>
  </si>
  <si>
    <t>"Leonidas Kaselakis"</t>
  </si>
  <si>
    <t>"Vasilis Kavvadas"</t>
  </si>
  <si>
    <t>"Georgios Printezis"</t>
  </si>
  <si>
    <t>"Vasileios Christidis"</t>
  </si>
  <si>
    <t>"John Brugos"</t>
  </si>
  <si>
    <t>"Ioannis Kritikos"</t>
  </si>
  <si>
    <t>"Vassilios Soulis"</t>
  </si>
  <si>
    <t>"Veniamin Abosi"</t>
  </si>
  <si>
    <t>"Alexandros Samodurov"</t>
  </si>
  <si>
    <t>"Dimitrios Karadolamis"</t>
  </si>
  <si>
    <t>"Panagiotis Vasilopoulos"</t>
  </si>
  <si>
    <t>"Ioannis Athanasoulas"</t>
  </si>
  <si>
    <t>"Spyridon Magkounis"</t>
  </si>
  <si>
    <t>"Pantelis Papaioakim"</t>
  </si>
  <si>
    <t>"Nikolaos Papanikolau"</t>
  </si>
  <si>
    <t>"Georgios Tsiaras"</t>
  </si>
  <si>
    <t>"Anestis Matos"</t>
  </si>
  <si>
    <t>"Nestoras Kommatos"</t>
  </si>
  <si>
    <t>"Michalis Tsairelis"</t>
  </si>
  <si>
    <t>"Vladimir Jankovic"</t>
  </si>
  <si>
    <t>"Dimitrios Papanikolaou"</t>
  </si>
  <si>
    <t>"Dimitrios Marmarinos"</t>
  </si>
  <si>
    <t>"Sasha Vezenkov"</t>
  </si>
  <si>
    <t>"Stratos Perperoglou"</t>
  </si>
  <si>
    <t>"Kostas Vasileiadis"</t>
  </si>
  <si>
    <t>"Nikolaos Ekonomou"</t>
  </si>
  <si>
    <t>"Thanasis Efthimiou"</t>
  </si>
  <si>
    <t>"Periklis Dorkofikis"</t>
  </si>
  <si>
    <t>"Pat Calathes"</t>
  </si>
  <si>
    <t>"Antonis Fotsis"</t>
  </si>
  <si>
    <t>"Thanasis Antetokounmpo"</t>
  </si>
  <si>
    <t>"Georgios Bogris"</t>
  </si>
  <si>
    <t>"Dimitrios Misiakos"</t>
  </si>
  <si>
    <t>"Evangelos Sklavos"</t>
  </si>
  <si>
    <t>"Ioannis Kakiouzis"</t>
  </si>
  <si>
    <t>"Vasilis Charalampopoulos"</t>
  </si>
  <si>
    <t>"Nikolaos Persidis"</t>
  </si>
  <si>
    <t>"Charis Giannopoulos"</t>
  </si>
  <si>
    <t>"Kostas Tsartsaris"</t>
  </si>
  <si>
    <t>"Ioannis Georgallis"</t>
  </si>
  <si>
    <t>"Yannis Giannoulis"</t>
  </si>
  <si>
    <t>"Michael Paragyios"</t>
  </si>
  <si>
    <t>"Miroslav Raicevic"</t>
  </si>
  <si>
    <t>"Dusan Sakota"</t>
  </si>
  <si>
    <t>"Dimos Dikoudis"</t>
  </si>
  <si>
    <t>"Michailis Kakiouzis"</t>
  </si>
  <si>
    <t>"Prodomos Dreliozis"</t>
  </si>
  <si>
    <t>?game</t>
  </si>
  <si>
    <t>https://www.euroleaguebasketball.net/euroleague/game-center/2007-08/-/E2007/3</t>
  </si>
  <si>
    <t>https://www.euroleaguebasketball.net/euroleague/game-center/2004-05/-/E2004/165</t>
  </si>
  <si>
    <t>https://www.euroleaguebasketball.net/euroleague/game-center/2009-10/-/E2009/23</t>
  </si>
  <si>
    <t>https://www.euroleaguebasketball.net/euroleague/game-center/2006-07/-/E2006/230</t>
  </si>
  <si>
    <t>https://www.euroleaguebasketball.net/euroleague/game-center/2016-17/-/E2016/9</t>
  </si>
  <si>
    <t>https://www.euroleaguebasketball.net/euroleague/game-center/2019-20/-/E2019/91</t>
  </si>
  <si>
    <t>https://www.euroleaguebasketball.net/euroleague/game-center/2003-04/-/E2003/193</t>
  </si>
  <si>
    <t>https://www.euroleaguebasketball.net/euroleague/game-center/2002-03/-/E2002/120</t>
  </si>
  <si>
    <t>https://www.euroleaguebasketball.net/euroleague/game-center/2002-03/-/E2002/209</t>
  </si>
  <si>
    <t>https://www.euroleaguebasketball.net/euroleague/game-center/2002-03/-/E2002/71</t>
  </si>
  <si>
    <t>https://www.euroleaguebasketball.net/euroleague/game-center/2001-02/-/E2001/207</t>
  </si>
  <si>
    <t>https://www.euroleaguebasketball.net/euroleague/game-center/2001-02/-/E2001/228</t>
  </si>
  <si>
    <t>https://www.euroleaguebasketball.net/euroleague/game-center/2001-02/-/E2001/235</t>
  </si>
  <si>
    <t>https://www.euroleaguebasketball.net/euroleague/game-center/2014-15/-/E2014/243</t>
  </si>
  <si>
    <t>https://www.euroleaguebasketball.net/euroleague/game-center/2014-15/-/E2014/50</t>
  </si>
  <si>
    <t>https://www.euroleaguebasketball.net/euroleague/game-center/2015-16/-/E2015/202</t>
  </si>
  <si>
    <t>https://www.euroleaguebasketball.net/euroleague/game-center/2015-16/-/E2015/207</t>
  </si>
  <si>
    <t>?teamName</t>
  </si>
  <si>
    <t>?wins</t>
  </si>
  <si>
    <t>"Real Madrid"</t>
  </si>
  <si>
    <t>"Olympiacos"</t>
  </si>
  <si>
    <t>"Barcelona"</t>
  </si>
  <si>
    <t>"Panathinaikos"</t>
  </si>
  <si>
    <t>"Maccabi Tel Aviv"</t>
  </si>
  <si>
    <t>"CSKA Moscow"</t>
  </si>
  <si>
    <t>"Fenerbahce"</t>
  </si>
  <si>
    <t>"Efes"</t>
  </si>
  <si>
    <t>"Zalgiris"</t>
  </si>
  <si>
    <t>"Bayern Munich"</t>
  </si>
  <si>
    <t>?gamesCount</t>
  </si>
  <si>
    <t>"Sergio Rodriguez"</t>
  </si>
  <si>
    <t>"Nick Calathes"</t>
  </si>
  <si>
    <t>"Sergio Llull"</t>
  </si>
  <si>
    <t>guard</t>
  </si>
  <si>
    <t>gameCount</t>
  </si>
  <si>
    <t>"Dimitris Diamantidis"</t>
  </si>
  <si>
    <t>?teamLabel</t>
  </si>
  <si>
    <t>?winningPercentage</t>
  </si>
  <si>
    <t>coach</t>
  </si>
  <si>
    <t>label</t>
  </si>
  <si>
    <t>photo</t>
  </si>
  <si>
    <t>birth</t>
  </si>
  <si>
    <t>country</t>
  </si>
  <si>
    <t>gamesCoached</t>
  </si>
  <si>
    <t>totalWins</t>
  </si>
  <si>
    <t>totalLosses</t>
  </si>
  <si>
    <t>winPercentage</t>
  </si>
  <si>
    <t>avgPointsScored</t>
  </si>
  <si>
    <t>avgPointsAllowed</t>
  </si>
  <si>
    <t>https://www.euroleaguebasketball.net/euroleague/players/-/WBS</t>
  </si>
  <si>
    <t>"Bozidar Maljkovic"</t>
  </si>
  <si>
    <t>http://www.ics.forth.gr/isl/Basketball/entities/SRB</t>
  </si>
  <si>
    <t>https://www.euroleaguebasketball.net/euroleague/players/-/WBB</t>
  </si>
  <si>
    <t>"David Blatt"</t>
  </si>
  <si>
    <t>http://www.ics.forth.gr/isl/Basketball/entities/USA</t>
  </si>
  <si>
    <t>https://www.euroleaguebasketball.net/euroleague/players/-/WAF</t>
  </si>
  <si>
    <t>"Ettore Messina"</t>
  </si>
  <si>
    <t>http://www.ics.forth.gr/isl/Basketball/entities/ITA</t>
  </si>
  <si>
    <t>https://www.euroleaguebasketball.net/euroleague/players/-/BXT</t>
  </si>
  <si>
    <t>"Ignacio Lezcano"</t>
  </si>
  <si>
    <t>http://www.ics.forth.gr/isl/Basketball/entities/ESP</t>
  </si>
  <si>
    <t>https://www.euroleaguebasketball.net/euroleague/players/-/WBC</t>
  </si>
  <si>
    <t>"Zeljko Obradovic"</t>
  </si>
  <si>
    <t>ref</t>
  </si>
  <si>
    <t>gamesRefereed</t>
  </si>
  <si>
    <t>avgTotalPoints</t>
  </si>
  <si>
    <t>avgPointDifference</t>
  </si>
  <si>
    <t>avgTotalFouls</t>
  </si>
  <si>
    <t>homeWinPercentage</t>
  </si>
  <si>
    <t>overtimeGames</t>
  </si>
  <si>
    <t>avgAttendance</t>
  </si>
  <si>
    <t>http://www.ics.forth.gr/isl/Basketball/entities/OJDL</t>
  </si>
  <si>
    <t>"Emin Mogulkoc"</t>
  </si>
  <si>
    <t>http://www.ics.forth.gr/isl/Basketball/entities/TUR</t>
  </si>
  <si>
    <t>http://www.ics.forth.gr/isl/Basketball/entities/OJDF</t>
  </si>
  <si>
    <t>"Olegs Latisevs"</t>
  </si>
  <si>
    <t>http://www.ics.forth.gr/isl/Basketball/entities/LAT</t>
  </si>
  <si>
    <t>http://www.ics.forth.gr/isl/Basketball/entities/OJIY</t>
  </si>
  <si>
    <t>"Piotr Pastusiak"</t>
  </si>
  <si>
    <t>http://www.ics.forth.gr/isl/Basketball/entities/POL</t>
  </si>
  <si>
    <t>?season</t>
  </si>
  <si>
    <t>?averageHomeWinPercentage</t>
  </si>
  <si>
    <t xml:space="preserve"> 2000_01</t>
  </si>
  <si>
    <t xml:space="preserve"> 2001_02</t>
  </si>
  <si>
    <t xml:space="preserve"> 2002_03</t>
  </si>
  <si>
    <t xml:space="preserve"> 2003_04</t>
  </si>
  <si>
    <t xml:space="preserve"> 2004_05</t>
  </si>
  <si>
    <t xml:space="preserve"> 2005_06</t>
  </si>
  <si>
    <t xml:space="preserve"> 2006_07</t>
  </si>
  <si>
    <t xml:space="preserve"> 2007_08</t>
  </si>
  <si>
    <t xml:space="preserve"> 2008_09</t>
  </si>
  <si>
    <t xml:space="preserve"> 2009_10</t>
  </si>
  <si>
    <t xml:space="preserve"> 2010_11</t>
  </si>
  <si>
    <t xml:space="preserve"> 2011_12</t>
  </si>
  <si>
    <t xml:space="preserve"> 2012_13</t>
  </si>
  <si>
    <t xml:space="preserve"> 2013_14</t>
  </si>
  <si>
    <t xml:space="preserve"> 2014_15</t>
  </si>
  <si>
    <t xml:space="preserve"> 2015_16</t>
  </si>
  <si>
    <t xml:space="preserve"> 2016_17</t>
  </si>
  <si>
    <t xml:space="preserve"> 2017_18</t>
  </si>
  <si>
    <t xml:space="preserve"> 2018_19</t>
  </si>
  <si>
    <t xml:space="preserve"> 2019_20</t>
  </si>
  <si>
    <t xml:space="preserve"> 2020_21</t>
  </si>
  <si>
    <t xml:space="preserve"> 2021_22</t>
  </si>
  <si>
    <t xml:space="preserve"> 2022_23</t>
  </si>
  <si>
    <t xml:space="preserve"> 2023_24</t>
  </si>
  <si>
    <t xml:space="preserve"> 2024_25</t>
  </si>
  <si>
    <t>Tyrone Ellis</t>
  </si>
  <si>
    <t>Jeremy Pargo</t>
  </si>
  <si>
    <t>Nigel Hayes-Davis</t>
  </si>
  <si>
    <t>Pascal Roller</t>
  </si>
  <si>
    <t>Devin Smith</t>
  </si>
  <si>
    <t>Kendrick Nunn</t>
  </si>
  <si>
    <t>Dejan Milojevic</t>
  </si>
  <si>
    <t>Tarence Kinsey</t>
  </si>
  <si>
    <t>Jaylen Hoard</t>
  </si>
  <si>
    <t>Mire Chatman</t>
  </si>
  <si>
    <t>Kostas Kaimakoglou</t>
  </si>
  <si>
    <t>Sasha Vezenkov</t>
  </si>
  <si>
    <t>Chris Williams</t>
  </si>
  <si>
    <t>Zoran Erceg</t>
  </si>
  <si>
    <t>Mike James</t>
  </si>
  <si>
    <t>Anthony Parker</t>
  </si>
  <si>
    <t>Mardy Collins</t>
  </si>
  <si>
    <t>Carsen Edwards</t>
  </si>
  <si>
    <t>Charles Smith</t>
  </si>
  <si>
    <t>Taylor Rochestie</t>
  </si>
  <si>
    <t>Chima Moneke</t>
  </si>
  <si>
    <t>Dainius Salenga</t>
  </si>
  <si>
    <t>Sam Van Rossom</t>
  </si>
  <si>
    <t>Levi Randolph</t>
  </si>
  <si>
    <t>Vladimer Boisa</t>
  </si>
  <si>
    <t>Andrew Goudelock</t>
  </si>
  <si>
    <t>Zach Leday</t>
  </si>
  <si>
    <t>Vule Avdalovic</t>
  </si>
  <si>
    <t>Tony Taylor</t>
  </si>
  <si>
    <t>Theo Maledon</t>
  </si>
  <si>
    <t>Scoonie Penn</t>
  </si>
  <si>
    <t>Carlos Arroyo</t>
  </si>
  <si>
    <t>Shavon Shields</t>
  </si>
  <si>
    <t>Bernard King</t>
  </si>
  <si>
    <t>Keith Langford</t>
  </si>
  <si>
    <t>Nikola Mirotic</t>
  </si>
  <si>
    <t>Jorge Garbajosa</t>
  </si>
  <si>
    <t>Jeff Brooks</t>
  </si>
  <si>
    <t>Tornike Shengelia</t>
  </si>
  <si>
    <t>Tanoka Beard</t>
  </si>
  <si>
    <t>David Logan</t>
  </si>
  <si>
    <t>Will Clyburn</t>
  </si>
  <si>
    <t>Marcus Brown</t>
  </si>
  <si>
    <t>Reggie Redding</t>
  </si>
  <si>
    <t>Tj Shorts</t>
  </si>
  <si>
    <t>Saso Ozbolt</t>
  </si>
  <si>
    <t>Anton Gavel</t>
  </si>
  <si>
    <t>Juancho Hernangomez</t>
  </si>
  <si>
    <t>Saras Jasikevicius</t>
  </si>
  <si>
    <t>Daniel Hackett</t>
  </si>
  <si>
    <t>Jabari Parker</t>
  </si>
  <si>
    <t>Henry Domercant</t>
  </si>
  <si>
    <t>Brian Randle</t>
  </si>
  <si>
    <t>Nikola Kalinic</t>
  </si>
  <si>
    <t>Marko Popovic</t>
  </si>
  <si>
    <t>James Anderson</t>
  </si>
  <si>
    <t>Kevin Punter</t>
  </si>
  <si>
    <t>Andres Rodriguez</t>
  </si>
  <si>
    <t>Bogdan Bogdanovic</t>
  </si>
  <si>
    <t>Mario Hezonja</t>
  </si>
  <si>
    <t>Jaka Lakovic</t>
  </si>
  <si>
    <t>Vladimir Micov</t>
  </si>
  <si>
    <t>Elijah Bryant</t>
  </si>
  <si>
    <t>Serkan Erdogan</t>
  </si>
  <si>
    <t>Milos Teodosic</t>
  </si>
  <si>
    <t>Carlik Jones</t>
  </si>
  <si>
    <t>Toby Bailey</t>
  </si>
  <si>
    <t>Vassilis Spanoulis</t>
  </si>
  <si>
    <t>Isaia Cordinier</t>
  </si>
  <si>
    <t>Marcus Goree</t>
  </si>
  <si>
    <t>Nobel Boungou-Colo</t>
  </si>
  <si>
    <t>Jerian Grant</t>
  </si>
  <si>
    <t>Louis Bullock</t>
  </si>
  <si>
    <t>James White</t>
  </si>
  <si>
    <t>Alpha Diallo</t>
  </si>
  <si>
    <t>Jr Bremer</t>
  </si>
  <si>
    <t>Nemanja Bjelica</t>
  </si>
  <si>
    <t>Nick Weiler-Babb</t>
  </si>
  <si>
    <t>Jr Holden</t>
  </si>
  <si>
    <t>Rakim Sanders</t>
  </si>
  <si>
    <t>Tyson Ward</t>
  </si>
  <si>
    <t>Nikos Zisis</t>
  </si>
  <si>
    <t>Trey Thompkins</t>
  </si>
  <si>
    <t>Darius Thompson</t>
  </si>
  <si>
    <t>Arvydas Macijauskas</t>
  </si>
  <si>
    <t>Sergio Llull</t>
  </si>
  <si>
    <t>Devin Booker</t>
  </si>
  <si>
    <t>Robert Pack</t>
  </si>
  <si>
    <t>Alessandro Gentile</t>
  </si>
  <si>
    <t>Shane Larkin</t>
  </si>
  <si>
    <t>Dejan Bodiroga</t>
  </si>
  <si>
    <t>Rudy Fernandez</t>
  </si>
  <si>
    <t>Andre Roberson</t>
  </si>
  <si>
    <t>Mindaugas Timinskas</t>
  </si>
  <si>
    <t>Dimitris Diamantidis</t>
  </si>
  <si>
    <t>Evan Fournier</t>
  </si>
  <si>
    <t>Gianluca Basile</t>
  </si>
  <si>
    <t>Boban Marjanovic</t>
  </si>
  <si>
    <t>Sterling Brown</t>
  </si>
  <si>
    <t>Tomas Pacesas</t>
  </si>
  <si>
    <t>Romain Sato</t>
  </si>
  <si>
    <t>Facundo Campazzo</t>
  </si>
  <si>
    <t>Robert Gulyas</t>
  </si>
  <si>
    <t>Nemanja Gordic</t>
  </si>
  <si>
    <t>Vladimir Lucic</t>
  </si>
  <si>
    <t>Willie Solomon</t>
  </si>
  <si>
    <t>Adrien Moerman</t>
  </si>
  <si>
    <t>Mikael Jantunen</t>
  </si>
  <si>
    <t>Gregor Fucka</t>
  </si>
  <si>
    <t>Deividas Gailius</t>
  </si>
  <si>
    <t>Sylvain Francisco</t>
  </si>
  <si>
    <t>Kerem Tunceri</t>
  </si>
  <si>
    <t>Sonny Weems</t>
  </si>
  <si>
    <t>Mathias Lessort</t>
  </si>
  <si>
    <t>Saulius Stombergas</t>
  </si>
  <si>
    <t>Alex Renfroe</t>
  </si>
  <si>
    <t>Codi Miller-Mcintyre</t>
  </si>
  <si>
    <t>Marlon Garnett</t>
  </si>
  <si>
    <t>Vladimir Jankovic</t>
  </si>
  <si>
    <t>Elie Okobo</t>
  </si>
  <si>
    <t>Milos Vujanic</t>
  </si>
  <si>
    <t>Samardo Samuels</t>
  </si>
  <si>
    <t>Isaac Bonga</t>
  </si>
  <si>
    <t>Terrell Lyday</t>
  </si>
  <si>
    <t>Jamar Smith</t>
  </si>
  <si>
    <t>Timothe Luwawu-Cabarrot</t>
  </si>
  <si>
    <t>Quadre-Michael Lollis</t>
  </si>
  <si>
    <t>Iffe Lundberg</t>
  </si>
  <si>
    <t>Lavor Postell</t>
  </si>
  <si>
    <t>Donatas Zavackas</t>
  </si>
  <si>
    <t>Trent Forrest</t>
  </si>
  <si>
    <t>Hanno Mottola</t>
  </si>
  <si>
    <t>Arturas Milaknis</t>
  </si>
  <si>
    <t>Rokas Jokubaitis</t>
  </si>
  <si>
    <t>Bootsy Thornton</t>
  </si>
  <si>
    <t>Dor Fischer</t>
  </si>
  <si>
    <t>Tadas Sedekerskis</t>
  </si>
  <si>
    <t>Luis Scola</t>
  </si>
  <si>
    <t>Cliff Hammonds</t>
  </si>
  <si>
    <t>Joel Bolomboy</t>
  </si>
  <si>
    <t>Marque Perry</t>
  </si>
  <si>
    <t>Marcus Williams</t>
  </si>
  <si>
    <t>Wade Baldwin IV</t>
  </si>
  <si>
    <t>Ruben Garces</t>
  </si>
  <si>
    <t>Tamir Blatt</t>
  </si>
  <si>
    <t>Goran Jagodnik</t>
  </si>
  <si>
    <t>Andrey Vorontsevich</t>
  </si>
  <si>
    <t>Matt Thomas</t>
  </si>
  <si>
    <t>Marino Bazdaric</t>
  </si>
  <si>
    <t>Justin Carter</t>
  </si>
  <si>
    <t>Jaron Blossomgame</t>
  </si>
  <si>
    <t>Blake Roy Stepp</t>
  </si>
  <si>
    <t>Semen Antonov</t>
  </si>
  <si>
    <t>Dovydas Giedraitis</t>
  </si>
  <si>
    <t>Milan Gurovic</t>
  </si>
  <si>
    <t>Jayson Granger</t>
  </si>
  <si>
    <t>Andreas Obst</t>
  </si>
  <si>
    <t>Nikolaos Chatzis</t>
  </si>
  <si>
    <t>Thomas Heurtel</t>
  </si>
  <si>
    <t>Tomas Satoransky</t>
  </si>
  <si>
    <t>David Vanterpool</t>
  </si>
  <si>
    <t>Nihad Dedovic</t>
  </si>
  <si>
    <t>Johannes Voigtmann</t>
  </si>
  <si>
    <t>Artur Drozdov</t>
  </si>
  <si>
    <t>Jamel Mclean</t>
  </si>
  <si>
    <t>Alessandro Pajola</t>
  </si>
  <si>
    <t>Miro Bilan</t>
  </si>
  <si>
    <t>Devon Hall</t>
  </si>
  <si>
    <t>Huseyin Besok</t>
  </si>
  <si>
    <t>Marko Tomas</t>
  </si>
  <si>
    <t>Gabriel Deck</t>
  </si>
  <si>
    <t>Matteo Soragna</t>
  </si>
  <si>
    <t>Damian Kulig</t>
  </si>
  <si>
    <t>Roman Sorkin</t>
  </si>
  <si>
    <t>Vlado Ilievski</t>
  </si>
  <si>
    <t>Georgios Printezis</t>
  </si>
  <si>
    <t>Walter Tavares</t>
  </si>
  <si>
    <t>Vrbica Stefanov</t>
  </si>
  <si>
    <t>Dusko Savanovic</t>
  </si>
  <si>
    <t>Nigel Williams-Goss</t>
  </si>
  <si>
    <t>Eurelijus Zukauskas</t>
  </si>
  <si>
    <t>Artsiom Parakhouski</t>
  </si>
  <si>
    <t>Vanja Marinkovic</t>
  </si>
  <si>
    <t>Moustapha Sonko</t>
  </si>
  <si>
    <t>Yogev Ohayon</t>
  </si>
  <si>
    <t>Daniel Theis</t>
  </si>
  <si>
    <t>Massimo Bulleri</t>
  </si>
  <si>
    <t>Curtis Jerrells</t>
  </si>
  <si>
    <t>Tyrique Jones</t>
  </si>
  <si>
    <t>Laurent Foirest</t>
  </si>
  <si>
    <t>Mustafa Shakur</t>
  </si>
  <si>
    <t>Tarik Biberovic</t>
  </si>
  <si>
    <t>Roger Mason</t>
  </si>
  <si>
    <t>Luka Mitrovic</t>
  </si>
  <si>
    <t>Leandro Bolmaro</t>
  </si>
  <si>
    <t>Jose Calderon</t>
  </si>
  <si>
    <t>Sinan Guler</t>
  </si>
  <si>
    <t>Edgaras Ulanovas</t>
  </si>
  <si>
    <t>Juan Carlos Navarro</t>
  </si>
  <si>
    <t>Patric Young</t>
  </si>
  <si>
    <t>Markus Howard</t>
  </si>
  <si>
    <t>Branimir Longin</t>
  </si>
  <si>
    <t>Nando De Colo</t>
  </si>
  <si>
    <t>Lonnie Walker IV</t>
  </si>
  <si>
    <t>Andrija Zizic</t>
  </si>
  <si>
    <t>Marko Guduric</t>
  </si>
  <si>
    <t>Josip Vrankovic</t>
  </si>
  <si>
    <t>Nemanja Jaramaz</t>
  </si>
  <si>
    <t>Niccolo Mannion</t>
  </si>
  <si>
    <t>Nikola Vujcic</t>
  </si>
  <si>
    <t>Dario Saric</t>
  </si>
  <si>
    <t>Nicolas Laprovittola</t>
  </si>
  <si>
    <t>Uros Tripkovic</t>
  </si>
  <si>
    <t>Matt Lojeski</t>
  </si>
  <si>
    <t>Paris Lee</t>
  </si>
  <si>
    <t>Marko MILIC</t>
  </si>
  <si>
    <t>Ante Tomic</t>
  </si>
  <si>
    <t>Arnas Butkevicius</t>
  </si>
  <si>
    <t>Kornel David</t>
  </si>
  <si>
    <t>Paulius Jankunas</t>
  </si>
  <si>
    <t>Neal Sako</t>
  </si>
  <si>
    <t>Boris Gorenc</t>
  </si>
  <si>
    <t>Justin Doellman</t>
  </si>
  <si>
    <t>Jasiel Rivero</t>
  </si>
  <si>
    <t>Kosta Perovic</t>
  </si>
  <si>
    <t>Pau Ribas</t>
  </si>
  <si>
    <t>Dzanan Musa</t>
  </si>
  <si>
    <t>Ramunas Siskauskas</t>
  </si>
  <si>
    <t>Dontaye Draper</t>
  </si>
  <si>
    <t>Martin Hermannsson</t>
  </si>
  <si>
    <t>Ruben Douglas</t>
  </si>
  <si>
    <t>Fabien Causeur</t>
  </si>
  <si>
    <t>Kostas Sloukas</t>
  </si>
  <si>
    <t>Dusan Bocevski</t>
  </si>
  <si>
    <t>Stratos Perperoglou</t>
  </si>
  <si>
    <t>Donta Hall</t>
  </si>
  <si>
    <t>Adam Wojcik</t>
  </si>
  <si>
    <t>Jerome Dyson</t>
  </si>
  <si>
    <t>Kamar Baldwin</t>
  </si>
  <si>
    <t>Sandro Nicevic</t>
  </si>
  <si>
    <t>Antonis Fotsis</t>
  </si>
  <si>
    <t>Vincent Poirier</t>
  </si>
  <si>
    <t>Ivica Jurkovic</t>
  </si>
  <si>
    <t>Michal Chylinski</t>
  </si>
  <si>
    <t>Jordan Loyd</t>
  </si>
  <si>
    <t>Ivan Zoroski</t>
  </si>
  <si>
    <t>Bo Mccalebb</t>
  </si>
  <si>
    <t>Jan Vesely</t>
  </si>
  <si>
    <t>Tomislav Ruzic</t>
  </si>
  <si>
    <t>Leo Westermann</t>
  </si>
  <si>
    <t>Vidas Ginevicius</t>
  </si>
  <si>
    <t>Fran Pilepic</t>
  </si>
  <si>
    <t>Isaiah Canaan</t>
  </si>
  <si>
    <t>Elmer Bennett</t>
  </si>
  <si>
    <t>Darius Adams</t>
  </si>
  <si>
    <t>Yanni Wetzell</t>
  </si>
  <si>
    <t>Carlos Jimenez</t>
  </si>
  <si>
    <t>Fernando San Emeterio</t>
  </si>
  <si>
    <t>Matteo Spagnolo</t>
  </si>
  <si>
    <t>Devin Davis</t>
  </si>
  <si>
    <t>Robertas Javtokas</t>
  </si>
  <si>
    <t>Shabazz Napier</t>
  </si>
  <si>
    <t>Stephane Pelle</t>
  </si>
  <si>
    <t>Luke Harangody</t>
  </si>
  <si>
    <t>Antonio Granger</t>
  </si>
  <si>
    <t>Martynas Mazeika</t>
  </si>
  <si>
    <t>Gabriele Procida</t>
  </si>
  <si>
    <t>Denis Marconato</t>
  </si>
  <si>
    <t>James Gist</t>
  </si>
  <si>
    <t>Joffrey Lauvergne</t>
  </si>
  <si>
    <t>Iker Iturbe</t>
  </si>
  <si>
    <t>Ryan Toolson</t>
  </si>
  <si>
    <t>Matthew Strazel</t>
  </si>
  <si>
    <t>Mickael Gelabale</t>
  </si>
  <si>
    <t>Shane Lawal</t>
  </si>
  <si>
    <t>Thomas Walkup</t>
  </si>
  <si>
    <t>Thierry Rupert</t>
  </si>
  <si>
    <t>Edgar Sosa</t>
  </si>
  <si>
    <t>Kevarrius Hayes</t>
  </si>
  <si>
    <t>Kerem Gonlum</t>
  </si>
  <si>
    <t>Bojan Dubljevic</t>
  </si>
  <si>
    <t>Filip Petrusev</t>
  </si>
  <si>
    <t>David Andersen</t>
  </si>
  <si>
    <t>Dmitry Khvostov</t>
  </si>
  <si>
    <t>Chimezie Metu</t>
  </si>
  <si>
    <t>Tomas Masiulis</t>
  </si>
  <si>
    <t>Aj Slaughter</t>
  </si>
  <si>
    <t>Nadir Hifi</t>
  </si>
  <si>
    <t>Dusan Vukcevic</t>
  </si>
  <si>
    <t>Vangelis Mantzaris</t>
  </si>
  <si>
    <t>Frank Ntilikina</t>
  </si>
  <si>
    <t>Mike Batiste</t>
  </si>
  <si>
    <t>Roko Ukic</t>
  </si>
  <si>
    <t>Trevion Williams</t>
  </si>
  <si>
    <t>Martin Rancik</t>
  </si>
  <si>
    <t>John Bryant</t>
  </si>
  <si>
    <t>Nikola Milutinov</t>
  </si>
  <si>
    <t>Dion Glover</t>
  </si>
  <si>
    <t>Ricky Hickman</t>
  </si>
  <si>
    <t>Cedi Osman</t>
  </si>
  <si>
    <t>Gerald Fitch</t>
  </si>
  <si>
    <t>Marcelinho Huertas</t>
  </si>
  <si>
    <t>Justin Bean</t>
  </si>
  <si>
    <t>Maceo Baston</t>
  </si>
  <si>
    <t>Tim Schneider</t>
  </si>
  <si>
    <t>Davor Marcelic</t>
  </si>
  <si>
    <t>Emir Preldzic</t>
  </si>
  <si>
    <t>Justin Anderson</t>
  </si>
  <si>
    <t>Hernan Jasen</t>
  </si>
  <si>
    <t>Esteban Batista</t>
  </si>
  <si>
    <t>Mbaye Ndiaye</t>
  </si>
  <si>
    <t>Troy Bell</t>
  </si>
  <si>
    <t>Marshon Brooks</t>
  </si>
  <si>
    <t>David Lighty</t>
  </si>
  <si>
    <t>Vlado Scepanovic</t>
  </si>
  <si>
    <t>Luka Babic</t>
  </si>
  <si>
    <t>Khalifa Koumadje</t>
  </si>
  <si>
    <t>Istvan Nemeth</t>
  </si>
  <si>
    <t>Robin Benzing</t>
  </si>
  <si>
    <t>Josh Nebo</t>
  </si>
  <si>
    <t>Felipe Reyes</t>
  </si>
  <si>
    <t>Louis Olinde</t>
  </si>
  <si>
    <t>Tal Burstein</t>
  </si>
  <si>
    <t>Heiko Schaffartzik</t>
  </si>
  <si>
    <t>Will Mcdowell-White</t>
  </si>
  <si>
    <t>Harold Mrazek</t>
  </si>
  <si>
    <t>Mindaugas Kuzminskas</t>
  </si>
  <si>
    <t>Jimmy Clark III</t>
  </si>
  <si>
    <t>Nikola Prkacin</t>
  </si>
  <si>
    <t>Davis Bertans</t>
  </si>
  <si>
    <t>Collin Malcolm</t>
  </si>
  <si>
    <t>Andrej Stimac</t>
  </si>
  <si>
    <t>Aaron Jackson</t>
  </si>
  <si>
    <t>Rodrigue Beaubois</t>
  </si>
  <si>
    <t>Goran Nikolic</t>
  </si>
  <si>
    <t>Matt Janning</t>
  </si>
  <si>
    <t>Alberto Abalde</t>
  </si>
  <si>
    <t>Marton Bader</t>
  </si>
  <si>
    <t>Sergio Rodriguez</t>
  </si>
  <si>
    <t>Kostas Papanikolaou</t>
  </si>
  <si>
    <t>Sergi Vidal</t>
  </si>
  <si>
    <t>Brandon Davies</t>
  </si>
  <si>
    <t>Malick Badiane</t>
  </si>
  <si>
    <t>Rihards Kuksiks</t>
  </si>
  <si>
    <t>Nikolaos Rogkavopoulos</t>
  </si>
  <si>
    <t>Stephane Risacher</t>
  </si>
  <si>
    <t>Ramel Curry</t>
  </si>
  <si>
    <t>Matthew Morgan</t>
  </si>
  <si>
    <t>Erazem Lorbek</t>
  </si>
  <si>
    <t>Nenad Krstic</t>
  </si>
  <si>
    <t>Nemanja Nedovic</t>
  </si>
  <si>
    <t>Vladimir Krstic</t>
  </si>
  <si>
    <t>Jaka Blazic</t>
  </si>
  <si>
    <t>Pj Dozier</t>
  </si>
  <si>
    <t>Pepe Sanchez</t>
  </si>
  <si>
    <t>Pietro Aradori</t>
  </si>
  <si>
    <t>Perry Dozier Jr</t>
  </si>
  <si>
    <t>Carlos Cabezas</t>
  </si>
  <si>
    <t>Alex Tyus</t>
  </si>
  <si>
    <t>Bonzie Colson</t>
  </si>
  <si>
    <t>Dimos Dikoudis</t>
  </si>
  <si>
    <t>David Moss</t>
  </si>
  <si>
    <t>Errick Mccollum</t>
  </si>
  <si>
    <t>Carlton Myers</t>
  </si>
  <si>
    <t>Gal Mekel</t>
  </si>
  <si>
    <t>Dario Brizuela</t>
  </si>
  <si>
    <t>Alberto Herreros</t>
  </si>
  <si>
    <t>Chris Wright</t>
  </si>
  <si>
    <t>Malte Delow</t>
  </si>
  <si>
    <t>Frederic Fauthoux</t>
  </si>
  <si>
    <t>Leon Radosevic</t>
  </si>
  <si>
    <t>Niels Giffey</t>
  </si>
  <si>
    <t>Lazaros Agadakos</t>
  </si>
  <si>
    <t>Nicolo Melli</t>
  </si>
  <si>
    <t>Rolands Smits</t>
  </si>
  <si>
    <t>Luka Bogdanovic</t>
  </si>
  <si>
    <t>Colton Iverson</t>
  </si>
  <si>
    <t>Luca Vildoza</t>
  </si>
  <si>
    <t>Dzenan Rahimic</t>
  </si>
  <si>
    <t>Furkan Aldemir</t>
  </si>
  <si>
    <t>Ignas Brazdeikis</t>
  </si>
  <si>
    <t>Matjaz Smodis</t>
  </si>
  <si>
    <t>Guy Pnini</t>
  </si>
  <si>
    <t>Nick Calathes</t>
  </si>
  <si>
    <t>Elvir Ovcina</t>
  </si>
  <si>
    <t>Martynas Pocius</t>
  </si>
  <si>
    <t>Saben Lee</t>
  </si>
  <si>
    <t>Spyridon Panteliadis</t>
  </si>
  <si>
    <t>Will Thomas</t>
  </si>
  <si>
    <t>John Dibartolomeo</t>
  </si>
  <si>
    <t>Michailis Kakiouzis</t>
  </si>
  <si>
    <t>Moustapha Fall</t>
  </si>
  <si>
    <t>Darryl Middleton</t>
  </si>
  <si>
    <t>Nikos Pappas</t>
  </si>
  <si>
    <t>Mark Miller</t>
  </si>
  <si>
    <t>Dwight Buycks</t>
  </si>
  <si>
    <t>Maodo Lo</t>
  </si>
  <si>
    <t>Makan Dioumassi</t>
  </si>
  <si>
    <t>Sasha Kaun</t>
  </si>
  <si>
    <t>Ibrahim Kutluay</t>
  </si>
  <si>
    <t>Fran Vazquez</t>
  </si>
  <si>
    <t>Admiral Schofield</t>
  </si>
  <si>
    <t>Filip Dylewicz</t>
  </si>
  <si>
    <t>Cheikh Mbodj</t>
  </si>
  <si>
    <t>Alex Abrines</t>
  </si>
  <si>
    <t>Ignacio Azofra</t>
  </si>
  <si>
    <t>Carlos Suarez</t>
  </si>
  <si>
    <t>Neno Dimitrijevic</t>
  </si>
  <si>
    <t>Rodrigo De La Fuente</t>
  </si>
  <si>
    <t>Miroslav Todic</t>
  </si>
  <si>
    <t>Jordan Nwora</t>
  </si>
  <si>
    <t>Matteo Malaventura</t>
  </si>
  <si>
    <t>Linas Kleiza</t>
  </si>
  <si>
    <t>Dan Oturu</t>
  </si>
  <si>
    <t>Jukka Matinen</t>
  </si>
  <si>
    <t>Marko Banic</t>
  </si>
  <si>
    <t>Ercan Osmani</t>
  </si>
  <si>
    <t>Mladjen Sljivancanin</t>
  </si>
  <si>
    <t>Deshaun Thomas</t>
  </si>
  <si>
    <t>Wenyen Gabriel</t>
  </si>
  <si>
    <t>Ender Arslan</t>
  </si>
  <si>
    <t>Bryant Dunston</t>
  </si>
  <si>
    <t>Deividas Sirvydis</t>
  </si>
  <si>
    <t>Derrick Sharp</t>
  </si>
  <si>
    <t>Stephane Lasme</t>
  </si>
  <si>
    <t>Georgios Papagiannis</t>
  </si>
  <si>
    <t>Robert Maras</t>
  </si>
  <si>
    <t>Mario Delas</t>
  </si>
  <si>
    <t>Ante Zizic</t>
  </si>
  <si>
    <t>Pablo Prigioni</t>
  </si>
  <si>
    <t>Bryce Taylor</t>
  </si>
  <si>
    <t>Alec Peters</t>
  </si>
  <si>
    <t>Robert Archibald</t>
  </si>
  <si>
    <t>Shaquielle Mckissic</t>
  </si>
  <si>
    <t>Nikola Loncar</t>
  </si>
  <si>
    <t>Shaquille Harrison</t>
  </si>
  <si>
    <t>Andrae Patterson</t>
  </si>
  <si>
    <t>Simas Galdikas</t>
  </si>
  <si>
    <t>David Mccormack</t>
  </si>
  <si>
    <t>Kostas Tsartsaris</t>
  </si>
  <si>
    <t>Andrei Kirilenko</t>
  </si>
  <si>
    <t>Achille Polonara</t>
  </si>
  <si>
    <t>Axel Hervelle</t>
  </si>
  <si>
    <t>Yago Dos Santos</t>
  </si>
  <si>
    <t>Konstantinos Mitoglou</t>
  </si>
  <si>
    <t>Giacomo Galanda</t>
  </si>
  <si>
    <t>Mouhamet Diouf</t>
  </si>
  <si>
    <t>Charles Jenkins</t>
  </si>
  <si>
    <t>Willy Hernangomez</t>
  </si>
  <si>
    <t>Berni Rodriguez</t>
  </si>
  <si>
    <t>Rokas Giedraitis</t>
  </si>
  <si>
    <t>Daniel Miller</t>
  </si>
  <si>
    <t>Brad Oleson</t>
  </si>
  <si>
    <t>Nikos Hatzivrettas</t>
  </si>
  <si>
    <t>Othello Hunter</t>
  </si>
  <si>
    <t>Juan Nunez</t>
  </si>
  <si>
    <t>Ermal Kuqo</t>
  </si>
  <si>
    <t>Lukas Lekavicius</t>
  </si>
  <si>
    <t>Fragiskos Alvertis</t>
  </si>
  <si>
    <t>Stefan Markovic</t>
  </si>
  <si>
    <t>Justin Holiday</t>
  </si>
  <si>
    <t>Roberto Duenas</t>
  </si>
  <si>
    <t>Ivan Ramljak</t>
  </si>
  <si>
    <t>Oscar Da Silva</t>
  </si>
  <si>
    <t>Alex King</t>
  </si>
  <si>
    <t>Stefano Tonut</t>
  </si>
  <si>
    <t>Alessandro Frosini</t>
  </si>
  <si>
    <t>Gustavo Ayon</t>
  </si>
  <si>
    <t>Isiaha Mike</t>
  </si>
  <si>
    <t>Theodoros Papaloukas</t>
  </si>
  <si>
    <t>Joe Ragland</t>
  </si>
  <si>
    <t>Luka Samanic</t>
  </si>
  <si>
    <t>Anthony Lux</t>
  </si>
  <si>
    <t>Will Cherry</t>
  </si>
  <si>
    <t>Giampaolo Ricci</t>
  </si>
  <si>
    <t>Marijan Mance</t>
  </si>
  <si>
    <t>Evgeny Baburin</t>
  </si>
  <si>
    <t>Marial Shayok</t>
  </si>
  <si>
    <t>David Blu</t>
  </si>
  <si>
    <t>Elias Rapieque</t>
  </si>
  <si>
    <t>Teemu Rannikko</t>
  </si>
  <si>
    <t>Vitaly Fridzon</t>
  </si>
  <si>
    <t>Mike Daum</t>
  </si>
  <si>
    <t>Oliver Lafayette</t>
  </si>
  <si>
    <t>Edwin Jackson</t>
  </si>
  <si>
    <t>Stefano Mancinelli</t>
  </si>
  <si>
    <t>Brent Petway</t>
  </si>
  <si>
    <t>Armoni Brooks</t>
  </si>
  <si>
    <t>Tiago Splitter</t>
  </si>
  <si>
    <t>Sylven Landesberg</t>
  </si>
  <si>
    <t>Alen Smailagic</t>
  </si>
  <si>
    <t>Martin Muursepp</t>
  </si>
  <si>
    <t>Joel Parra</t>
  </si>
  <si>
    <t>Travis Hansen</t>
  </si>
  <si>
    <t>Kim Tillie</t>
  </si>
  <si>
    <t>Lorenzo Brown</t>
  </si>
  <si>
    <t>Mindaugas Zukauskas</t>
  </si>
  <si>
    <t>Arturs Zagars</t>
  </si>
  <si>
    <t>Vasilije MICIC</t>
  </si>
  <si>
    <t>Yakuba Ouattara</t>
  </si>
  <si>
    <t>Dejan Borovnjak</t>
  </si>
  <si>
    <t>John Brown III</t>
  </si>
  <si>
    <t>Virginijus Praskevicius</t>
  </si>
  <si>
    <t>Demarcus Nelson</t>
  </si>
  <si>
    <t>Donatas Motiejunas</t>
  </si>
  <si>
    <t>Alper Yilmaz</t>
  </si>
  <si>
    <t>Branko Lazic</t>
  </si>
  <si>
    <t>Mam Jaiteh</t>
  </si>
  <si>
    <t>Pat Burke</t>
  </si>
  <si>
    <t>Caleb Green</t>
  </si>
  <si>
    <t>Omer Yurtseven</t>
  </si>
  <si>
    <t>Tracy Murray</t>
  </si>
  <si>
    <t>Andres Nocioni</t>
  </si>
  <si>
    <t>Duane Washington</t>
  </si>
  <si>
    <t>Darius Maskoliunas</t>
  </si>
  <si>
    <t>Jaycee Carroll</t>
  </si>
  <si>
    <t>Khalifa Diop</t>
  </si>
  <si>
    <t>Marc Gasol</t>
  </si>
  <si>
    <t>Kyle Hines</t>
  </si>
  <si>
    <t>Melvin Ajinca</t>
  </si>
  <si>
    <t>Dusan Kecman</t>
  </si>
  <si>
    <t>Marquez Haynes</t>
  </si>
  <si>
    <t>Matthew Mitchell</t>
  </si>
  <si>
    <t>Zan Tabak</t>
  </si>
  <si>
    <t>Andres Feliz</t>
  </si>
  <si>
    <t>Davor Kus</t>
  </si>
  <si>
    <t>Okben Ulubay</t>
  </si>
  <si>
    <t>Robert Baker II</t>
  </si>
  <si>
    <t>Desmon Farmer</t>
  </si>
  <si>
    <t>Mirza Begic</t>
  </si>
  <si>
    <t>Usman Garuba</t>
  </si>
  <si>
    <t>Karim Souchu</t>
  </si>
  <si>
    <t>Vlad Moldoveanu</t>
  </si>
  <si>
    <t>Eli Ndiaye</t>
  </si>
  <si>
    <t>Slobodan Bozovic</t>
  </si>
  <si>
    <t>Tomislav Zubcic</t>
  </si>
  <si>
    <t>Bruno Fernando</t>
  </si>
  <si>
    <t>Andres Miso</t>
  </si>
  <si>
    <t>J.p. Batista</t>
  </si>
  <si>
    <t>Marco Belinelli</t>
  </si>
  <si>
    <t>Kaya Peker</t>
  </si>
  <si>
    <t>Kc Rivers</t>
  </si>
  <si>
    <t>Vitto Brown</t>
  </si>
  <si>
    <t>Walter Herrmann</t>
  </si>
  <si>
    <t>Mindaugas Girdziunas</t>
  </si>
  <si>
    <t>Khem Birch</t>
  </si>
  <si>
    <t>Julius Nwosu</t>
  </si>
  <si>
    <t>Sasha Vujacic</t>
  </si>
  <si>
    <t>Ziga Samar</t>
  </si>
  <si>
    <t>Yohann Sangare</t>
  </si>
  <si>
    <t>Bandja Sy</t>
  </si>
  <si>
    <t>Dragisa Drobnjak</t>
  </si>
  <si>
    <t>Ryan Gomes</t>
  </si>
  <si>
    <t>Jonas Mattisseck</t>
  </si>
  <si>
    <t>Robert Conley</t>
  </si>
  <si>
    <t>Nolan Smith</t>
  </si>
  <si>
    <t>Sertac Sanli</t>
  </si>
  <si>
    <t>German Scarone</t>
  </si>
  <si>
    <t>Vaidas Kariniauskas</t>
  </si>
  <si>
    <t>Andrejs Grazulis</t>
  </si>
  <si>
    <t>Efthymios Rentzias</t>
  </si>
  <si>
    <t>Milko Bjelica</t>
  </si>
  <si>
    <t>Benjamin Bentil</t>
  </si>
  <si>
    <t>Deon Thomas</t>
  </si>
  <si>
    <t>Vladimir Golubovic</t>
  </si>
  <si>
    <t>Laurynas Birutis</t>
  </si>
  <si>
    <t>Andrija Ciric</t>
  </si>
  <si>
    <t>Giacomo Devecchi</t>
  </si>
  <si>
    <t>Moses Wright</t>
  </si>
  <si>
    <t>Paccelis Morlende</t>
  </si>
  <si>
    <t>Jonathan Tabu</t>
  </si>
  <si>
    <t>Aleksej Pokusevski</t>
  </si>
  <si>
    <t>Juan Ignacio Jasen</t>
  </si>
  <si>
    <t>Pape-Philippe Amagou</t>
  </si>
  <si>
    <t>Dejan Davidovac</t>
  </si>
  <si>
    <t>Darjus Lavrinovic</t>
  </si>
  <si>
    <t>Lukasz Wisniewski</t>
  </si>
  <si>
    <t>Herve Toure</t>
  </si>
  <si>
    <t>Marco Cusin</t>
  </si>
  <si>
    <t>Harold Jamison</t>
  </si>
  <si>
    <t>Nate Linhart</t>
  </si>
  <si>
    <t>Serge Ibaka</t>
  </si>
  <si>
    <t>Petar Bozic</t>
  </si>
  <si>
    <t>Tremmell Darden</t>
  </si>
  <si>
    <t>Isaiah Wong</t>
  </si>
  <si>
    <t>Darren Mclinton</t>
  </si>
  <si>
    <t>Lamont Hamilton</t>
  </si>
  <si>
    <t>Charles Kahudi</t>
  </si>
  <si>
    <t>Mustafa Abi</t>
  </si>
  <si>
    <t>Arturas Gudaitis</t>
  </si>
  <si>
    <t>Freddie Gillespie</t>
  </si>
  <si>
    <t>Sean Lester Rooks</t>
  </si>
  <si>
    <t>Vladimir Stimac</t>
  </si>
  <si>
    <t>Daulton Hommes</t>
  </si>
  <si>
    <t>Orlando Johnson</t>
  </si>
  <si>
    <t>Furkan Korkmaz</t>
  </si>
  <si>
    <t>Josip Sesar</t>
  </si>
  <si>
    <t>Xavier Rathan-Mayes</t>
  </si>
  <si>
    <t>Simonas Serapinas</t>
  </si>
  <si>
    <t>Kostas Vasileiadis</t>
  </si>
  <si>
    <t>Yam Madar</t>
  </si>
  <si>
    <t>Roberto Chiacig</t>
  </si>
  <si>
    <t>Donnie Mcgrath</t>
  </si>
  <si>
    <t>Sebastian Herrera</t>
  </si>
  <si>
    <t>Roger Grimau</t>
  </si>
  <si>
    <t>Guillem Vives</t>
  </si>
  <si>
    <t>Terry Tarpey</t>
  </si>
  <si>
    <t>Florent Pietrus</t>
  </si>
  <si>
    <t>Valdas Vasylius</t>
  </si>
  <si>
    <t>Dyshawn Pierre</t>
  </si>
  <si>
    <t>Evangelos Sklavos</t>
  </si>
  <si>
    <t>Sofoklis Schortsanitis</t>
  </si>
  <si>
    <t>Derek Willis</t>
  </si>
  <si>
    <t>Tomas Ress</t>
  </si>
  <si>
    <t>Darius Songaila</t>
  </si>
  <si>
    <t>Arijan Lakic</t>
  </si>
  <si>
    <t>Nemanja Dangubic</t>
  </si>
  <si>
    <t>Marius Grigonis</t>
  </si>
  <si>
    <t>Dalibor Bagaric</t>
  </si>
  <si>
    <t>Jonas Maciulis</t>
  </si>
  <si>
    <t>Uros Plavsic</t>
  </si>
  <si>
    <t>Antonio Bueno</t>
  </si>
  <si>
    <t>Steed Tchicamboud</t>
  </si>
  <si>
    <t>William Rayman</t>
  </si>
  <si>
    <t>Marvin Willoughby</t>
  </si>
  <si>
    <t>Stefan Jovic</t>
  </si>
  <si>
    <t>David Dejulius</t>
  </si>
  <si>
    <t>Aleksandar Radojevic</t>
  </si>
  <si>
    <t>Egidijus Dimsa</t>
  </si>
  <si>
    <t>Tyrone Wallace</t>
  </si>
  <si>
    <t>Sergey Monia</t>
  </si>
  <si>
    <t>Akeem Vargas</t>
  </si>
  <si>
    <t>Ognjen Dobric</t>
  </si>
  <si>
    <t>Aleksey Savrasenko</t>
  </si>
  <si>
    <t>Loukas Mavrokefalidis</t>
  </si>
  <si>
    <t>Leopold Cavaliere</t>
  </si>
  <si>
    <t>Damir Markota</t>
  </si>
  <si>
    <t>Rafa Martinez</t>
  </si>
  <si>
    <t>Ioannis Papapetrou</t>
  </si>
  <si>
    <t>Johan Petro</t>
  </si>
  <si>
    <t>Maciej Lampe</t>
  </si>
  <si>
    <t>Youssoupha Fall</t>
  </si>
  <si>
    <t>Patrick Femerling</t>
  </si>
  <si>
    <t>Trent Plaisted</t>
  </si>
  <si>
    <t>Tarik Black</t>
  </si>
  <si>
    <t>Predrag Samardziski</t>
  </si>
  <si>
    <t>Jon Stefansson</t>
  </si>
  <si>
    <t>Dennis Smith Jr</t>
  </si>
  <si>
    <t>Rafael Vidaurreta</t>
  </si>
  <si>
    <t>Kresimir Loncar</t>
  </si>
  <si>
    <t>Skylar Mays</t>
  </si>
  <si>
    <t>Bernd Kruel</t>
  </si>
  <si>
    <t>Vojdan Stojanovski</t>
  </si>
  <si>
    <t>Ognjen Jaramaz</t>
  </si>
  <si>
    <t>Vedran Morovic</t>
  </si>
  <si>
    <t>Tibor Pleiss</t>
  </si>
  <si>
    <t>Tyler Dorsey</t>
  </si>
  <si>
    <t>Jesus Lazaro Corral</t>
  </si>
  <si>
    <t>Brian Sacchetti</t>
  </si>
  <si>
    <t>Gianmarco Pozzecco</t>
  </si>
  <si>
    <t>Luka Zoric</t>
  </si>
  <si>
    <t>Petr Cornelie</t>
  </si>
  <si>
    <t>Ainars Bagatskis</t>
  </si>
  <si>
    <t>Maik Zirbes</t>
  </si>
  <si>
    <t>Rayjon Tucker</t>
  </si>
  <si>
    <t>Jurica Zuza</t>
  </si>
  <si>
    <t>Shawn James</t>
  </si>
  <si>
    <t>Elias Harris</t>
  </si>
  <si>
    <t>Andy Betts</t>
  </si>
  <si>
    <t>Nicola Akele</t>
  </si>
  <si>
    <t>Joey Beard</t>
  </si>
  <si>
    <t>Paul Zipser</t>
  </si>
  <si>
    <t>Ousmane Ndiaye</t>
  </si>
  <si>
    <t>Josko Poljak</t>
  </si>
  <si>
    <t>Lucca Staiger</t>
  </si>
  <si>
    <t>Sander Raieste</t>
  </si>
  <si>
    <t>Jeff Nordgaard</t>
  </si>
  <si>
    <t>Dimitris Agravanis</t>
  </si>
  <si>
    <t>Leon Kratzer</t>
  </si>
  <si>
    <t>Semih Erden</t>
  </si>
  <si>
    <t>Ben Hansbrough</t>
  </si>
  <si>
    <t>Jake Cohen</t>
  </si>
  <si>
    <t>Christian Drejer</t>
  </si>
  <si>
    <t>Ante Delas</t>
  </si>
  <si>
    <t>Danko Brankovic</t>
  </si>
  <si>
    <t>Milan Tomic</t>
  </si>
  <si>
    <t>Demetris Nichols</t>
  </si>
  <si>
    <t>Mitar Bosnjakovic</t>
  </si>
  <si>
    <t>Mario Stojic</t>
  </si>
  <si>
    <t>Serhiy Lishchuk</t>
  </si>
  <si>
    <t>Brady Manek</t>
  </si>
  <si>
    <t>Evangelos Koronios</t>
  </si>
  <si>
    <t>Bostjan Nachbar</t>
  </si>
  <si>
    <t>Ousmane Diop</t>
  </si>
  <si>
    <t>Georgios Kalaitzis</t>
  </si>
  <si>
    <t>Marcus Slaughter</t>
  </si>
  <si>
    <t>Rafi Menco</t>
  </si>
  <si>
    <t>Jordi Trias</t>
  </si>
  <si>
    <t>Janis Blums</t>
  </si>
  <si>
    <t>Diego Flaccadori</t>
  </si>
  <si>
    <t>Michalis Pelekanos</t>
  </si>
  <si>
    <t>Ioannis Bourousis</t>
  </si>
  <si>
    <t>Mario Nakic</t>
  </si>
  <si>
    <t>Pero Antic</t>
  </si>
  <si>
    <t>Joe Alexander</t>
  </si>
  <si>
    <t>Onuralp Bitim</t>
  </si>
  <si>
    <t>Marin Rozic</t>
  </si>
  <si>
    <t>Kristijan Nikolov</t>
  </si>
  <si>
    <t>Omer Mayer</t>
  </si>
  <si>
    <t>Benjamin Eze</t>
  </si>
  <si>
    <t>Ilya Popov</t>
  </si>
  <si>
    <t>Balsa Koprivica</t>
  </si>
  <si>
    <t>Hasan Ozkan</t>
  </si>
  <si>
    <t>Justas Sinica</t>
  </si>
  <si>
    <t>Giordano Bortolani</t>
  </si>
  <si>
    <t>Souarata Cisse</t>
  </si>
  <si>
    <t>Levan Patsatsia</t>
  </si>
  <si>
    <t>Stanley Johnson</t>
  </si>
  <si>
    <t>Nestoras Kommatos</t>
  </si>
  <si>
    <t>Frejus Zerbo</t>
  </si>
  <si>
    <t>Guglielmo Caruso</t>
  </si>
  <si>
    <t>Sasa Djordjevic</t>
  </si>
  <si>
    <t>Will Daniels</t>
  </si>
  <si>
    <t>Hugo Gonzalez</t>
  </si>
  <si>
    <t>Jan Jagla</t>
  </si>
  <si>
    <t>Mathis Dossou-Yovo</t>
  </si>
  <si>
    <t>Thierry Gadou</t>
  </si>
  <si>
    <t>Oguz Savas</t>
  </si>
  <si>
    <t>Panagiotis Kalaitzakis</t>
  </si>
  <si>
    <t>Mariusz Bacik</t>
  </si>
  <si>
    <t>Ivan Zigeranovic</t>
  </si>
  <si>
    <t>Enzo Shahrvin</t>
  </si>
  <si>
    <t>Manuchar Markoishvili</t>
  </si>
  <si>
    <t>Doron Perkins</t>
  </si>
  <si>
    <t>Ivan Volf</t>
  </si>
  <si>
    <t>Tutku Acik</t>
  </si>
  <si>
    <t>Giannoulis Larentzakis</t>
  </si>
  <si>
    <t>Arturas Javtokas</t>
  </si>
  <si>
    <t>Ousmane Camara</t>
  </si>
  <si>
    <t>Ivan Kharchenkov</t>
  </si>
  <si>
    <t>David Lee Jackson</t>
  </si>
  <si>
    <t>Jilson Bango</t>
  </si>
  <si>
    <t>Yotam Halperin</t>
  </si>
  <si>
    <t>Uros Slokar</t>
  </si>
  <si>
    <t>Marko Arapovic</t>
  </si>
  <si>
    <t>Kostas Antetokounmpo</t>
  </si>
  <si>
    <t>Yaniv Green</t>
  </si>
  <si>
    <t>Viktor Sanikidze</t>
  </si>
  <si>
    <t>Amon Doerries</t>
  </si>
  <si>
    <t>Gintaras Einikis</t>
  </si>
  <si>
    <t>Yohann Sissoko</t>
  </si>
  <si>
    <t>Spyridon Magkounis</t>
  </si>
  <si>
    <t>James Southerland</t>
  </si>
  <si>
    <t>Ridvan Oncel</t>
  </si>
  <si>
    <t>Lonny Baxter</t>
  </si>
  <si>
    <t>Ege Arar</t>
  </si>
  <si>
    <t>Kevin Yebo</t>
  </si>
  <si>
    <t>James Forrest</t>
  </si>
  <si>
    <t>Donatas Tarolis</t>
  </si>
  <si>
    <t>Justus Hollatz</t>
  </si>
  <si>
    <t>Nikolaos Papanikolopoulos</t>
  </si>
  <si>
    <t>Massimo Chessa</t>
  </si>
  <si>
    <t>Dogus Ozdemiroglu</t>
  </si>
  <si>
    <t>Valentin Pastal</t>
  </si>
  <si>
    <t>Birkan Batuk</t>
  </si>
  <si>
    <t>Melih Mahmutoglu</t>
  </si>
  <si>
    <t>Agostino LI Vecchi</t>
  </si>
  <si>
    <t>Eleftherios Bochoridis</t>
  </si>
  <si>
    <t>Giannis Kalampokis</t>
  </si>
  <si>
    <t>Pablo Aguilar</t>
  </si>
  <si>
    <t>Dame Sarr</t>
  </si>
  <si>
    <t>Sergey Panov</t>
  </si>
  <si>
    <t>Julian Wright</t>
  </si>
  <si>
    <t>Ramon Espuna</t>
  </si>
  <si>
    <t>Keith Benson</t>
  </si>
  <si>
    <t>Anton Nufer</t>
  </si>
  <si>
    <t>Rodolfo Rombaldoni</t>
  </si>
  <si>
    <t>Mo Soluade</t>
  </si>
  <si>
    <t>Pavel Savkov</t>
  </si>
  <si>
    <t>Andreas Glyniadakis</t>
  </si>
  <si>
    <t>Kenan Sipahi</t>
  </si>
  <si>
    <t>Erkan Yilmaz</t>
  </si>
  <si>
    <t>Smiljan Pavic</t>
  </si>
  <si>
    <t>Salah Mejri</t>
  </si>
  <si>
    <t>Alexandros Samodurov</t>
  </si>
  <si>
    <t>Andrea Bargnani</t>
  </si>
  <si>
    <t>Frank Elegar</t>
  </si>
  <si>
    <t>Juhann Begarin</t>
  </si>
  <si>
    <t>Xane D'almeida</t>
  </si>
  <si>
    <t>Bruno Cerella</t>
  </si>
  <si>
    <t>Dimitris Moraitis</t>
  </si>
  <si>
    <t>Martynas Andriuskevicius</t>
  </si>
  <si>
    <t>Ian Vougioukas</t>
  </si>
  <si>
    <t>Mbiya Paul</t>
  </si>
  <si>
    <t>Roberto Gabini</t>
  </si>
  <si>
    <t>Aleks Maric</t>
  </si>
  <si>
    <t>Raul Neto</t>
  </si>
  <si>
    <t>Sotirios Nikolaidis</t>
  </si>
  <si>
    <t>Siim-Sander Vene</t>
  </si>
  <si>
    <t>Metecan Birsen</t>
  </si>
  <si>
    <t>Omar Quintero</t>
  </si>
  <si>
    <t>Matteo Formenti</t>
  </si>
  <si>
    <t>Mert Eksioglu</t>
  </si>
  <si>
    <t>Gur Shelef</t>
  </si>
  <si>
    <t>Pavel Korobkov</t>
  </si>
  <si>
    <t>Naz Mitrou-Long</t>
  </si>
  <si>
    <t>Zakhar Pashutin</t>
  </si>
  <si>
    <t>German Gabriel</t>
  </si>
  <si>
    <t>Dorian Grosber</t>
  </si>
  <si>
    <t>Victor Sada</t>
  </si>
  <si>
    <t>Yassin Idbihi</t>
  </si>
  <si>
    <t>Nathan Mensah</t>
  </si>
  <si>
    <t>Dusan Sakota</t>
  </si>
  <si>
    <t>Marko Tejic</t>
  </si>
  <si>
    <t>Joseba Querejeta</t>
  </si>
  <si>
    <t>Jonas Wohlfarth-Bottermann</t>
  </si>
  <si>
    <t>Achille Lonati</t>
  </si>
  <si>
    <t>Alberto Aspe</t>
  </si>
  <si>
    <t>Dmitry Sokolov</t>
  </si>
  <si>
    <t>Raul Villar</t>
  </si>
  <si>
    <t>Silvio Gigena</t>
  </si>
  <si>
    <t>Vasilis Charalampopoulos</t>
  </si>
  <si>
    <t>Scottie Wilbekin</t>
  </si>
  <si>
    <t>Olivier Gouez</t>
  </si>
  <si>
    <t>Can Altintig</t>
  </si>
  <si>
    <t>Alpha Kaba</t>
  </si>
  <si>
    <t>Dimitrios Misiakos</t>
  </si>
  <si>
    <t>Sidi Gueye</t>
  </si>
  <si>
    <t>Georgios Tsiaras</t>
  </si>
  <si>
    <t>Dogus Balbay</t>
  </si>
  <si>
    <t>Dovydas Buika</t>
  </si>
  <si>
    <t>Boris Bakic</t>
  </si>
  <si>
    <t>Karlo Zganec</t>
  </si>
  <si>
    <t>Mathieu Grujicic</t>
  </si>
  <si>
    <t>Dimitrios Papanikolaou</t>
  </si>
  <si>
    <t>Sergey Bykov</t>
  </si>
  <si>
    <t>Riccardo Visconti</t>
  </si>
  <si>
    <t>Cenk Akyol</t>
  </si>
  <si>
    <t>Uros Nikolic</t>
  </si>
  <si>
    <t>Declan Duru</t>
  </si>
  <si>
    <t>Davide Lamma</t>
  </si>
  <si>
    <t>Petr Gubanov</t>
  </si>
  <si>
    <t>Mantas Juzenas</t>
  </si>
  <si>
    <t>Gediminas Navickas</t>
  </si>
  <si>
    <t>Victor Khryapa</t>
  </si>
  <si>
    <t>Baris Ermis</t>
  </si>
  <si>
    <t>Dj White</t>
  </si>
  <si>
    <t>Simone Cotani</t>
  </si>
  <si>
    <t>Michalis Lountzis</t>
  </si>
  <si>
    <t>Ibrahim Diarra</t>
  </si>
  <si>
    <t>Serhat Cetin</t>
  </si>
  <si>
    <t>Remon Van De Hare</t>
  </si>
  <si>
    <t>Luigi Datome</t>
  </si>
  <si>
    <t>Deniz Kilicli</t>
  </si>
  <si>
    <t>Fatih Solak</t>
  </si>
  <si>
    <t>Vytenis Lipkevicius</t>
  </si>
  <si>
    <t>Jannik Freese</t>
  </si>
  <si>
    <t>Gokturk Ural</t>
  </si>
  <si>
    <t>Nathan Johnson</t>
  </si>
  <si>
    <t>Nate Jawai</t>
  </si>
  <si>
    <t>Joseph Mcnaull</t>
  </si>
  <si>
    <t>Dmitry Golovin</t>
  </si>
  <si>
    <t>Ersan Ilyasova</t>
  </si>
  <si>
    <t>Tomas Dimsa</t>
  </si>
  <si>
    <t>Olivier Ilunga</t>
  </si>
  <si>
    <t>Lovro Mazalin</t>
  </si>
  <si>
    <t>Nikolaos Papanikolau</t>
  </si>
  <si>
    <t>Trenton Meacham</t>
  </si>
  <si>
    <t>Ioannis Kakiouzis</t>
  </si>
  <si>
    <t>Dimitris Katsivelis</t>
  </si>
  <si>
    <t>Goran Savanovic</t>
  </si>
  <si>
    <t>Ivan Savelyev</t>
  </si>
  <si>
    <t>Francisco Javier Perujo</t>
  </si>
  <si>
    <t>Angelo Gigli</t>
  </si>
  <si>
    <t>Rudolph Phillip Ramelli</t>
  </si>
  <si>
    <t>Vladimir Ivlev</t>
  </si>
  <si>
    <t>Milos Markovic</t>
  </si>
  <si>
    <t>Ali Berent Kavaklioglu</t>
  </si>
  <si>
    <t>Kenan Karahodzic</t>
  </si>
  <si>
    <t>Maxime Renaud</t>
  </si>
  <si>
    <t>Ismet Akpinar</t>
  </si>
  <si>
    <t>Gabriel Szalay</t>
  </si>
  <si>
    <t>Michael Gospodarek</t>
  </si>
  <si>
    <t>Luca Sottana</t>
  </si>
  <si>
    <t>Vadim Panin</t>
  </si>
  <si>
    <t>Fredrick Kleemichen</t>
  </si>
  <si>
    <t>Ivan Viktorov</t>
  </si>
  <si>
    <t>Yaroslav Korolev</t>
  </si>
  <si>
    <t>Vasilis Kavvadas</t>
  </si>
  <si>
    <t>Alessandro Piazza</t>
  </si>
  <si>
    <t>Jakub Karolak</t>
  </si>
  <si>
    <t>Vasily Zavourev</t>
  </si>
  <si>
    <t>Berk Ugurlu</t>
  </si>
  <si>
    <t>Josep Mestres</t>
  </si>
  <si>
    <t>Pavel Antipov</t>
  </si>
  <si>
    <t>Daniel Munoz</t>
  </si>
  <si>
    <t>Aleksey Zozulin</t>
  </si>
  <si>
    <t>Assaf Dotan</t>
  </si>
  <si>
    <t>Anton Astapkovich</t>
  </si>
  <si>
    <t>Julien Blanchot</t>
  </si>
  <si>
    <t>Maksim Krivosheev</t>
  </si>
  <si>
    <t>Vilmantas Dilys</t>
  </si>
  <si>
    <t>Ivan Strebkov</t>
  </si>
  <si>
    <t>Riccardo Cortese</t>
  </si>
  <si>
    <t>Vytautas Sarakauskas</t>
  </si>
  <si>
    <t>Amal Mccaskill</t>
  </si>
  <si>
    <t>Emircan Kosut</t>
  </si>
  <si>
    <t>Giovanni Tomassini</t>
  </si>
  <si>
    <t>Manuel Vanuzzo</t>
  </si>
  <si>
    <t>Boris Jersin</t>
  </si>
  <si>
    <t>Ilimane Diop</t>
  </si>
  <si>
    <t>Jernej Mihalic</t>
  </si>
  <si>
    <t>Gani Lawal</t>
  </si>
  <si>
    <t>Valerio Circosta</t>
  </si>
  <si>
    <t>Raidas Nacius</t>
  </si>
  <si>
    <t>Andrea Lagioia</t>
  </si>
  <si>
    <t>Martin Seiferth</t>
  </si>
  <si>
    <t>Michalis Tsairelis</t>
  </si>
  <si>
    <t>Lamine Kante</t>
  </si>
  <si>
    <t>Pablo Perez</t>
  </si>
  <si>
    <t>Ludde Hakanson</t>
  </si>
  <si>
    <t>Georgios Diamantakos</t>
  </si>
  <si>
    <t>David Guardia</t>
  </si>
  <si>
    <t>Suacan Piskin</t>
  </si>
  <si>
    <t>Nikola Rebic</t>
  </si>
  <si>
    <t>Maodo Nguirane</t>
  </si>
  <si>
    <t>Moritz Wagner</t>
  </si>
  <si>
    <t>Antonios Koniaris</t>
  </si>
  <si>
    <t>Valerii Likhodei</t>
  </si>
  <si>
    <t>Carlos Martinez</t>
  </si>
  <si>
    <t>Joseph Forte</t>
  </si>
  <si>
    <t>Arad Harari</t>
  </si>
  <si>
    <t>Emir Sulejmanovic</t>
  </si>
  <si>
    <t>Antreas Christodoulou</t>
  </si>
  <si>
    <t>Izzet Turkyilmaz</t>
  </si>
  <si>
    <t>Ben Altit</t>
  </si>
  <si>
    <t>2PTS attempted Obradovic</t>
  </si>
  <si>
    <t>3PTS attempted Obradovic</t>
  </si>
  <si>
    <t>2PTS attempted Bartzokas</t>
  </si>
  <si>
    <t>3PTS attempted Bartzokas</t>
  </si>
  <si>
    <t>Possesion per game</t>
  </si>
  <si>
    <t xml:space="preserve">Points 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</si>
  <si>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</si>
  <si>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</si>
  <si>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</si>
  <si>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</si>
  <si>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</si>
  <si>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</si>
  <si>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</si>
  <si>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</si>
  <si>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</si>
  <si>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</si>
  <si>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</si>
  <si>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</si>
  <si>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</si>
  <si>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</si>
  <si>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</si>
  <si>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</si>
  <si>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</si>
  <si>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</si>
  <si>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</si>
  <si>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</si>
  <si>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 2020-21</t>
  </si>
  <si>
    <t xml:space="preserve"> 2021-22</t>
  </si>
  <si>
    <t xml:space="preserve"> 2022-23</t>
  </si>
  <si>
    <t xml:space="preserve"> 2023-24</t>
  </si>
  <si>
    <t xml:space="preserve"> 2024-25</t>
  </si>
  <si>
    <t>Guards</t>
  </si>
  <si>
    <t>Forwards</t>
  </si>
  <si>
    <t>Centers</t>
  </si>
  <si>
    <t>3 PTS SHOTS ATTEMPTED PER POSITION</t>
  </si>
  <si>
    <t>Season</t>
  </si>
  <si>
    <t>Assists</t>
  </si>
  <si>
    <t>Turnovers</t>
  </si>
  <si>
    <t>Rebounds</t>
  </si>
  <si>
    <t>Defensive</t>
  </si>
  <si>
    <t>Offensive</t>
  </si>
  <si>
    <t>Steals</t>
  </si>
  <si>
    <t>Blocks</t>
  </si>
  <si>
    <t>?seasonLabel</t>
  </si>
  <si>
    <t>usa</t>
  </si>
  <si>
    <t>not usa</t>
  </si>
  <si>
    <t>2025-26</t>
  </si>
  <si>
    <t>&lt;=5</t>
  </si>
  <si>
    <t>extra times</t>
  </si>
  <si>
    <t>Close games</t>
  </si>
  <si>
    <t>TOTAL GAMES</t>
  </si>
  <si>
    <t>percentage</t>
  </si>
  <si>
    <t>&lt;=3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</si>
</sst>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  <font>
      <sz val="9.6"/>
      <color rgb="FF212529"/>
      <name val="Consolas"/>
      <family val="3"/>
    </font>
    <font>
      <b/>
      <sz val="11"/>
      <color rgb="FF000000"/>
      <name val="Inherit"/>
    </font>
    <font>
      <sz val="11"/>
      <color theme="1"/>
      <name val="Inherit"/>
    </font>
    <font>
      <u/>
      <sz val="11"/>
      <color theme="1"/>
      <name val="Inherit"/>
    </font>
    <font>
      <u/>
      <sz val="11"/>
      <color theme="10"/>
      <name val="Aptos Narrow"/>
      <family val="2"/>
      <scheme val="minor"/>
    </font>
    <font>
      <sz val="9.6"/>
      <color rgb="FF212529"/>
      <name val="Consolas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/>
    </xf>
    <xf numFmtId="0" fontId="0" fillId="0" borderId="2" xfId="0" applyBorder="1"/>
    <xf numFmtId="0" fontId="1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untanton\Downloads\RESBAS.xlsx" TargetMode="External"/><Relationship Id="rId1" Type="http://schemas.openxmlformats.org/officeDocument/2006/relationships/externalLinkPath" Target="/Users/mountanton/Downloads/RESB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ints per game"/>
      <sheetName val="Assists turnover rebounds"/>
      <sheetName val="Possessions per game"/>
      <sheetName val="shots per season"/>
      <sheetName val="POistion 3pots"/>
      <sheetName val="Minutes per game"/>
      <sheetName val="Φύλλο1"/>
      <sheetName val="USA"/>
      <sheetName val="hOME AND ROAD WIN PERCENTAGE"/>
      <sheetName val="close games"/>
      <sheetName val="Q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F1" t="str">
            <v>percentage</v>
          </cell>
        </row>
        <row r="2">
          <cell r="F2">
            <v>0.25316455696202533</v>
          </cell>
        </row>
        <row r="3">
          <cell r="F3">
            <v>0.31272727272727274</v>
          </cell>
        </row>
        <row r="4">
          <cell r="F4">
            <v>0.30909090909090908</v>
          </cell>
        </row>
        <row r="5">
          <cell r="F5">
            <v>0.31363636363636366</v>
          </cell>
        </row>
        <row r="6">
          <cell r="F6">
            <v>0.33187772925764192</v>
          </cell>
        </row>
        <row r="7">
          <cell r="F7">
            <v>0.2943722943722944</v>
          </cell>
        </row>
        <row r="8">
          <cell r="F8">
            <v>0.31739130434782609</v>
          </cell>
        </row>
        <row r="9">
          <cell r="F9">
            <v>0.2813852813852814</v>
          </cell>
        </row>
        <row r="10">
          <cell r="F10">
            <v>0.32978723404255317</v>
          </cell>
        </row>
        <row r="11">
          <cell r="F11">
            <v>0.28191489361702127</v>
          </cell>
        </row>
        <row r="12">
          <cell r="F12">
            <v>0.29100529100529099</v>
          </cell>
        </row>
        <row r="13">
          <cell r="F13">
            <v>0.35106382978723405</v>
          </cell>
        </row>
        <row r="14">
          <cell r="F14">
            <v>0.33992094861660077</v>
          </cell>
        </row>
        <row r="15">
          <cell r="F15">
            <v>0.31620553359683795</v>
          </cell>
        </row>
        <row r="16">
          <cell r="F16">
            <v>0.29880478087649404</v>
          </cell>
        </row>
        <row r="17">
          <cell r="F17">
            <v>0.27600000000000002</v>
          </cell>
        </row>
        <row r="18">
          <cell r="F18">
            <v>0.36679536679536678</v>
          </cell>
        </row>
        <row r="19">
          <cell r="F19">
            <v>0.34230769230769231</v>
          </cell>
        </row>
        <row r="20">
          <cell r="F20">
            <v>0.29615384615384616</v>
          </cell>
        </row>
        <row r="21">
          <cell r="F21">
            <v>0.34126984126984128</v>
          </cell>
        </row>
        <row r="22">
          <cell r="F22">
            <v>0.33536585365853661</v>
          </cell>
        </row>
        <row r="23">
          <cell r="F23">
            <v>0.30434782608695654</v>
          </cell>
        </row>
        <row r="24">
          <cell r="F24">
            <v>0.36585365853658536</v>
          </cell>
        </row>
        <row r="25">
          <cell r="F25">
            <v>0.35045317220543809</v>
          </cell>
        </row>
        <row r="26">
          <cell r="F26">
            <v>0.32121212121212123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cs.forth.gr/isl/Basketball/entities/ESP" TargetMode="External"/><Relationship Id="rId3" Type="http://schemas.openxmlformats.org/officeDocument/2006/relationships/hyperlink" Target="https://www.euroleaguebasketball.net/euroleague/players/-/WBB" TargetMode="External"/><Relationship Id="rId7" Type="http://schemas.openxmlformats.org/officeDocument/2006/relationships/hyperlink" Target="https://www.euroleaguebasketball.net/euroleague/players/-/BXT" TargetMode="External"/><Relationship Id="rId2" Type="http://schemas.openxmlformats.org/officeDocument/2006/relationships/hyperlink" Target="http://www.ics.forth.gr/isl/Basketball/entities/SRB" TargetMode="External"/><Relationship Id="rId1" Type="http://schemas.openxmlformats.org/officeDocument/2006/relationships/hyperlink" Target="https://www.euroleaguebasketball.net/euroleague/players/-/WBS" TargetMode="External"/><Relationship Id="rId6" Type="http://schemas.openxmlformats.org/officeDocument/2006/relationships/hyperlink" Target="http://www.ics.forth.gr/isl/Basketball/entities/ITA" TargetMode="External"/><Relationship Id="rId5" Type="http://schemas.openxmlformats.org/officeDocument/2006/relationships/hyperlink" Target="https://www.euroleaguebasketball.net/euroleague/players/-/WAF" TargetMode="External"/><Relationship Id="rId10" Type="http://schemas.openxmlformats.org/officeDocument/2006/relationships/hyperlink" Target="http://www.ics.forth.gr/isl/Basketball/entities/SRB" TargetMode="External"/><Relationship Id="rId4" Type="http://schemas.openxmlformats.org/officeDocument/2006/relationships/hyperlink" Target="http://www.ics.forth.gr/isl/Basketball/entities/USA" TargetMode="External"/><Relationship Id="rId9" Type="http://schemas.openxmlformats.org/officeDocument/2006/relationships/hyperlink" Target="https://www.euroleaguebasketball.net/euroleague/players/-/WBC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cs.forth.gr/isl/Basketball/entities/OJDF" TargetMode="External"/><Relationship Id="rId2" Type="http://schemas.openxmlformats.org/officeDocument/2006/relationships/hyperlink" Target="http://www.ics.forth.gr/isl/Basketball/entities/TUR" TargetMode="External"/><Relationship Id="rId1" Type="http://schemas.openxmlformats.org/officeDocument/2006/relationships/hyperlink" Target="http://www.ics.forth.gr/isl/Basketball/entities/OJDL" TargetMode="External"/><Relationship Id="rId6" Type="http://schemas.openxmlformats.org/officeDocument/2006/relationships/hyperlink" Target="http://www.ics.forth.gr/isl/Basketball/entities/POL" TargetMode="External"/><Relationship Id="rId5" Type="http://schemas.openxmlformats.org/officeDocument/2006/relationships/hyperlink" Target="http://www.ics.forth.gr/isl/Basketball/entities/OJIY" TargetMode="External"/><Relationship Id="rId4" Type="http://schemas.openxmlformats.org/officeDocument/2006/relationships/hyperlink" Target="http://www.ics.forth.gr/isl/Basketball/entities/L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ED83-9984-4106-82B7-7FD58C6AC347}">
  <dimension ref="A1:G26"/>
  <sheetViews>
    <sheetView workbookViewId="0">
      <selection activeCell="M20" sqref="M20"/>
    </sheetView>
  </sheetViews>
  <sheetFormatPr defaultRowHeight="15"/>
  <sheetData>
    <row r="1" spans="1:7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</row>
    <row r="2" spans="1:7">
      <c r="A2" s="11" t="s">
        <v>0</v>
      </c>
      <c r="B2" s="12">
        <v>12.6139240506329</v>
      </c>
      <c r="C2" s="12">
        <v>36.455696202531598</v>
      </c>
      <c r="D2" s="11">
        <v>43.651898729999999</v>
      </c>
      <c r="E2" s="11">
        <v>82.917721520000001</v>
      </c>
      <c r="F2" s="11">
        <v>36.025316459999999</v>
      </c>
      <c r="G2" s="11">
        <v>50</v>
      </c>
    </row>
    <row r="3" spans="1:7">
      <c r="A3" s="11" t="s">
        <v>1</v>
      </c>
      <c r="B3" s="12">
        <v>13.28</v>
      </c>
      <c r="C3" s="12">
        <v>37.221818181818101</v>
      </c>
      <c r="D3" s="11">
        <v>43.04</v>
      </c>
      <c r="E3" s="11">
        <v>82.585454549999994</v>
      </c>
      <c r="F3" s="11">
        <v>35.032727270000002</v>
      </c>
      <c r="G3" s="11">
        <v>48.552727269999998</v>
      </c>
    </row>
    <row r="4" spans="1:7">
      <c r="A4" s="11" t="s">
        <v>2</v>
      </c>
      <c r="B4" s="12">
        <v>13.718181818181799</v>
      </c>
      <c r="C4" s="12">
        <v>37.159090909090899</v>
      </c>
      <c r="D4" s="11">
        <v>41.56818182</v>
      </c>
      <c r="E4" s="11">
        <v>80.445454549999994</v>
      </c>
      <c r="F4" s="11">
        <v>32.745454549999998</v>
      </c>
      <c r="G4" s="11">
        <v>45.218181819999998</v>
      </c>
    </row>
    <row r="5" spans="1:7">
      <c r="A5" s="11" t="s">
        <v>3</v>
      </c>
      <c r="B5" s="12">
        <v>13.8</v>
      </c>
      <c r="C5" s="12">
        <v>37.868181818181803</v>
      </c>
      <c r="D5" s="11">
        <v>41.095454549999999</v>
      </c>
      <c r="E5" s="11">
        <v>77.463636359999995</v>
      </c>
      <c r="F5" s="11">
        <v>33.468181819999998</v>
      </c>
      <c r="G5" s="11">
        <v>45.68181818</v>
      </c>
    </row>
    <row r="6" spans="1:7">
      <c r="A6" s="11" t="s">
        <v>4</v>
      </c>
      <c r="B6" s="12">
        <v>14.323144104803401</v>
      </c>
      <c r="C6" s="12">
        <v>40.279475982532702</v>
      </c>
      <c r="D6" s="11">
        <v>39.877729260000002</v>
      </c>
      <c r="E6" s="11">
        <v>76.921397380000002</v>
      </c>
      <c r="F6" s="11">
        <v>32.868995630000001</v>
      </c>
      <c r="G6" s="11">
        <v>45.109170310000003</v>
      </c>
    </row>
    <row r="7" spans="1:7">
      <c r="A7" s="11" t="s">
        <v>5</v>
      </c>
      <c r="B7" s="12">
        <v>14.5281385281385</v>
      </c>
      <c r="C7" s="12">
        <v>40.619047619047599</v>
      </c>
      <c r="D7" s="11">
        <v>37.969696970000001</v>
      </c>
      <c r="E7" s="11">
        <v>75.116883119999997</v>
      </c>
      <c r="F7" s="11">
        <v>30.376623380000002</v>
      </c>
      <c r="G7" s="11">
        <v>42.645021649999997</v>
      </c>
    </row>
    <row r="8" spans="1:7">
      <c r="A8" s="11" t="s">
        <v>6</v>
      </c>
      <c r="B8" s="12">
        <v>14.1826086956521</v>
      </c>
      <c r="C8" s="12">
        <v>39.830434782608599</v>
      </c>
      <c r="D8" s="11">
        <v>39.047826090000001</v>
      </c>
      <c r="E8" s="11">
        <v>75.704347830000003</v>
      </c>
      <c r="F8" s="11">
        <v>31.717391299999999</v>
      </c>
      <c r="G8" s="11">
        <v>43.634782610000002</v>
      </c>
    </row>
    <row r="9" spans="1:7">
      <c r="A9" s="11" t="s">
        <v>7</v>
      </c>
      <c r="B9" s="12">
        <v>15.112554112554101</v>
      </c>
      <c r="C9" s="12">
        <v>41.930735930735899</v>
      </c>
      <c r="D9" s="11">
        <v>39.748917749999997</v>
      </c>
      <c r="E9" s="11">
        <v>75.852813850000004</v>
      </c>
      <c r="F9" s="11">
        <v>29.311688310000001</v>
      </c>
      <c r="G9" s="11">
        <v>39.965367970000003</v>
      </c>
    </row>
    <row r="10" spans="1:7">
      <c r="A10" s="11" t="s">
        <v>8</v>
      </c>
      <c r="B10" s="12">
        <v>14.622340425531901</v>
      </c>
      <c r="C10" s="12">
        <v>41.186170212765902</v>
      </c>
      <c r="D10" s="11">
        <v>38.968085109999997</v>
      </c>
      <c r="E10" s="11">
        <v>75.196808509999997</v>
      </c>
      <c r="F10" s="11">
        <v>30.462765959999999</v>
      </c>
      <c r="G10" s="11">
        <v>40.680851060000002</v>
      </c>
    </row>
    <row r="11" spans="1:7">
      <c r="A11" s="11" t="s">
        <v>9</v>
      </c>
      <c r="B11" s="12">
        <v>14.776595744680799</v>
      </c>
      <c r="C11" s="12">
        <v>41.877659574467998</v>
      </c>
      <c r="D11" s="11">
        <v>37.946808509999997</v>
      </c>
      <c r="E11" s="11">
        <v>72.021276599999993</v>
      </c>
      <c r="F11" s="11">
        <v>30.69680851</v>
      </c>
      <c r="G11" s="11">
        <v>41.595744680000003</v>
      </c>
    </row>
    <row r="12" spans="1:7">
      <c r="A12" s="11" t="s">
        <v>10</v>
      </c>
      <c r="B12" s="12">
        <v>12.936507936507899</v>
      </c>
      <c r="C12" s="12">
        <v>38.566137566137499</v>
      </c>
      <c r="D12" s="11">
        <v>40.317460320000002</v>
      </c>
      <c r="E12" s="11">
        <v>79.439153439999998</v>
      </c>
      <c r="F12" s="11">
        <v>29.058201059999998</v>
      </c>
      <c r="G12" s="11">
        <v>39.195767199999999</v>
      </c>
    </row>
    <row r="13" spans="1:7">
      <c r="A13" s="11" t="s">
        <v>11</v>
      </c>
      <c r="B13" s="12">
        <v>13.351063829787201</v>
      </c>
      <c r="C13" s="12">
        <v>39.005319148936103</v>
      </c>
      <c r="D13" s="11">
        <v>40.356382979999999</v>
      </c>
      <c r="E13" s="11">
        <v>80.069148940000005</v>
      </c>
      <c r="F13" s="11">
        <v>28.462765959999999</v>
      </c>
      <c r="G13" s="11">
        <v>38.005319149999998</v>
      </c>
    </row>
    <row r="14" spans="1:7">
      <c r="A14" s="11" t="s">
        <v>12</v>
      </c>
      <c r="B14" s="12">
        <v>14.6166007905138</v>
      </c>
      <c r="C14" s="12">
        <v>41.063241106719303</v>
      </c>
      <c r="D14" s="11">
        <v>39.774703559999999</v>
      </c>
      <c r="E14" s="11">
        <v>77.976284579999998</v>
      </c>
      <c r="F14" s="11">
        <v>26.442687750000001</v>
      </c>
      <c r="G14" s="11">
        <v>35.96837945</v>
      </c>
    </row>
    <row r="15" spans="1:7">
      <c r="A15" s="11" t="s">
        <v>13</v>
      </c>
      <c r="B15" s="12">
        <v>15.0632411067193</v>
      </c>
      <c r="C15" s="12">
        <v>42.0750988142292</v>
      </c>
      <c r="D15" s="11">
        <v>40.40316206</v>
      </c>
      <c r="E15" s="11">
        <v>78.454545449999998</v>
      </c>
      <c r="F15" s="11">
        <v>25.177865610000001</v>
      </c>
      <c r="G15" s="11">
        <v>34.237154150000002</v>
      </c>
    </row>
    <row r="16" spans="1:7">
      <c r="A16" s="11" t="s">
        <v>14</v>
      </c>
      <c r="B16" s="12">
        <v>15.816733067729</v>
      </c>
      <c r="C16" s="12">
        <v>44.653386454183199</v>
      </c>
      <c r="D16" s="11">
        <v>40.466135459999997</v>
      </c>
      <c r="E16" s="11">
        <v>79.127490039999998</v>
      </c>
      <c r="F16" s="11">
        <v>27.370517929999998</v>
      </c>
      <c r="G16" s="11">
        <v>37.055776889999997</v>
      </c>
    </row>
    <row r="17" spans="1:7">
      <c r="A17" s="11" t="s">
        <v>15</v>
      </c>
      <c r="B17" s="12">
        <v>16.187999999999999</v>
      </c>
      <c r="C17" s="12">
        <v>45.24</v>
      </c>
      <c r="D17" s="11">
        <v>39.276000000000003</v>
      </c>
      <c r="E17" s="11">
        <v>76.38</v>
      </c>
      <c r="F17" s="11">
        <v>27.411999999999999</v>
      </c>
      <c r="G17" s="11">
        <v>36.704000000000001</v>
      </c>
    </row>
    <row r="18" spans="1:7">
      <c r="A18" s="11" t="s">
        <v>16</v>
      </c>
      <c r="B18" s="12">
        <v>16.8532818532818</v>
      </c>
      <c r="C18" s="12">
        <v>45.378378378378301</v>
      </c>
      <c r="D18" s="11">
        <v>40.293436290000002</v>
      </c>
      <c r="E18" s="11">
        <v>77.899613900000006</v>
      </c>
      <c r="F18" s="11">
        <v>27.019305020000001</v>
      </c>
      <c r="G18" s="11">
        <v>35.68725869</v>
      </c>
    </row>
    <row r="19" spans="1:7">
      <c r="A19" s="11" t="s">
        <v>17</v>
      </c>
      <c r="B19" s="12">
        <v>17.123076923076901</v>
      </c>
      <c r="C19" s="12">
        <v>45.611538461538402</v>
      </c>
      <c r="D19" s="11">
        <v>40.661538460000003</v>
      </c>
      <c r="E19" s="11">
        <v>76.988461540000003</v>
      </c>
      <c r="F19" s="11">
        <v>29.01923077</v>
      </c>
      <c r="G19" s="11">
        <v>38.003846150000001</v>
      </c>
    </row>
    <row r="20" spans="1:7">
      <c r="A20" s="11" t="s">
        <v>18</v>
      </c>
      <c r="B20" s="12">
        <v>17.103846153846099</v>
      </c>
      <c r="C20" s="12">
        <v>46.219230769230698</v>
      </c>
      <c r="D20" s="11">
        <v>41.157692310000002</v>
      </c>
      <c r="E20" s="11">
        <v>76.623076920000003</v>
      </c>
      <c r="F20" s="11">
        <v>27.419230769999999</v>
      </c>
      <c r="G20" s="11">
        <v>35.780769229999997</v>
      </c>
    </row>
    <row r="21" spans="1:7">
      <c r="A21" s="11" t="s">
        <v>19</v>
      </c>
      <c r="B21" s="12">
        <v>18.484126984126899</v>
      </c>
      <c r="C21" s="12">
        <v>49.511904761904702</v>
      </c>
      <c r="D21" s="11">
        <v>39.130952379999997</v>
      </c>
      <c r="E21" s="11">
        <v>73.932539680000005</v>
      </c>
      <c r="F21" s="11">
        <v>27.37698413</v>
      </c>
      <c r="G21" s="11">
        <v>35.400793649999997</v>
      </c>
    </row>
    <row r="22" spans="1:7">
      <c r="A22" s="11" t="s">
        <v>20</v>
      </c>
      <c r="B22" s="12">
        <v>18.024390243902399</v>
      </c>
      <c r="C22" s="12">
        <v>47.646341463414601</v>
      </c>
      <c r="D22" s="11">
        <v>38.93597561</v>
      </c>
      <c r="E22" s="11">
        <v>72.673780489999999</v>
      </c>
      <c r="F22" s="11">
        <v>26.801829269999999</v>
      </c>
      <c r="G22" s="11">
        <v>33.734756099999998</v>
      </c>
    </row>
    <row r="23" spans="1:7">
      <c r="A23" s="11" t="s">
        <v>21</v>
      </c>
      <c r="B23" s="12">
        <v>17.234113712374501</v>
      </c>
      <c r="C23" s="12">
        <v>48.3612040133779</v>
      </c>
      <c r="D23" s="11">
        <v>38.876254179999997</v>
      </c>
      <c r="E23" s="11">
        <v>72.702341140000001</v>
      </c>
      <c r="F23" s="11">
        <v>24.605351169999999</v>
      </c>
      <c r="G23" s="11">
        <v>31.819397989999999</v>
      </c>
    </row>
    <row r="24" spans="1:7">
      <c r="A24" s="11" t="s">
        <v>22</v>
      </c>
      <c r="B24" s="12">
        <v>18.121951219512098</v>
      </c>
      <c r="C24" s="12">
        <v>50.125</v>
      </c>
      <c r="D24" s="11">
        <v>39.118902439999999</v>
      </c>
      <c r="E24" s="11">
        <v>71.640243900000002</v>
      </c>
      <c r="F24" s="11">
        <v>28.87195122</v>
      </c>
      <c r="G24" s="11">
        <v>36.838414630000003</v>
      </c>
    </row>
    <row r="25" spans="1:7">
      <c r="A25" s="11" t="s">
        <v>23</v>
      </c>
      <c r="B25" s="12">
        <v>18.5166163141993</v>
      </c>
      <c r="C25" s="12">
        <v>50.694864048338303</v>
      </c>
      <c r="D25" s="11">
        <v>40.483383689999997</v>
      </c>
      <c r="E25" s="11">
        <v>74.172205439999999</v>
      </c>
      <c r="F25" s="11">
        <v>26.670694860000001</v>
      </c>
      <c r="G25" s="11">
        <v>34.474320239999997</v>
      </c>
    </row>
    <row r="26" spans="1:7">
      <c r="A26" s="11" t="s">
        <v>24</v>
      </c>
      <c r="B26" s="12">
        <v>18.796969696969601</v>
      </c>
      <c r="C26" s="12">
        <v>51.954545454545404</v>
      </c>
      <c r="D26" s="11">
        <v>41.07878788</v>
      </c>
      <c r="E26" s="11">
        <v>73.903030299999998</v>
      </c>
      <c r="F26" s="11">
        <v>29.272727270000001</v>
      </c>
      <c r="G26" s="11">
        <v>37.55151515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C2A5-6594-4F4A-B4D2-96133DC65472}">
  <dimension ref="A2:G27"/>
  <sheetViews>
    <sheetView workbookViewId="0">
      <selection activeCell="L30" sqref="L30"/>
    </sheetView>
  </sheetViews>
  <sheetFormatPr defaultRowHeight="15"/>
  <sheetData>
    <row r="2" spans="1:7">
      <c r="A2" t="s">
        <v>25</v>
      </c>
      <c r="B2" t="s">
        <v>1181</v>
      </c>
      <c r="C2" t="s">
        <v>1182</v>
      </c>
      <c r="D2" t="s">
        <v>1183</v>
      </c>
    </row>
    <row r="3" spans="1:7">
      <c r="A3" t="s">
        <v>1156</v>
      </c>
      <c r="B3">
        <v>21.417721520000001</v>
      </c>
      <c r="C3">
        <v>16.835443040000001</v>
      </c>
      <c r="D3">
        <v>1.9303797469999999</v>
      </c>
    </row>
    <row r="4" spans="1:7">
      <c r="A4" t="s">
        <v>1157</v>
      </c>
      <c r="B4">
        <v>22.784671530000001</v>
      </c>
      <c r="C4">
        <v>17.868613140000001</v>
      </c>
      <c r="D4">
        <v>1.7700729930000001</v>
      </c>
      <c r="G4" t="s">
        <v>1184</v>
      </c>
    </row>
    <row r="5" spans="1:7">
      <c r="A5" t="s">
        <v>1158</v>
      </c>
      <c r="B5">
        <v>23.245454550000002</v>
      </c>
      <c r="C5">
        <v>16.904545450000001</v>
      </c>
      <c r="D5">
        <v>2.309090909</v>
      </c>
    </row>
    <row r="6" spans="1:7">
      <c r="A6" t="s">
        <v>1159</v>
      </c>
      <c r="B6">
        <v>25.018264840000001</v>
      </c>
      <c r="C6">
        <v>16.178082190000001</v>
      </c>
      <c r="D6">
        <v>2.6301369860000001</v>
      </c>
    </row>
    <row r="7" spans="1:7">
      <c r="A7" t="s">
        <v>1160</v>
      </c>
      <c r="B7">
        <v>28.371179040000001</v>
      </c>
      <c r="C7">
        <v>17.663755460000001</v>
      </c>
      <c r="D7">
        <v>2.3711790389999998</v>
      </c>
    </row>
    <row r="8" spans="1:7">
      <c r="A8" t="s">
        <v>1161</v>
      </c>
      <c r="B8">
        <v>28.030303029999999</v>
      </c>
      <c r="C8">
        <v>18.060606060000001</v>
      </c>
      <c r="D8">
        <v>2.588744589</v>
      </c>
    </row>
    <row r="9" spans="1:7">
      <c r="A9" t="s">
        <v>1162</v>
      </c>
      <c r="B9">
        <v>27.526086960000001</v>
      </c>
      <c r="C9">
        <v>17.639130430000002</v>
      </c>
      <c r="D9">
        <v>1.891304348</v>
      </c>
    </row>
    <row r="10" spans="1:7">
      <c r="A10" t="s">
        <v>1163</v>
      </c>
      <c r="B10">
        <v>27.90909091</v>
      </c>
      <c r="C10">
        <v>19.519480519999998</v>
      </c>
      <c r="D10">
        <v>2.766233766</v>
      </c>
    </row>
    <row r="11" spans="1:7">
      <c r="A11" t="s">
        <v>1164</v>
      </c>
      <c r="B11">
        <v>26.45744681</v>
      </c>
      <c r="C11">
        <v>19.468085110000001</v>
      </c>
      <c r="D11">
        <v>2.9787234040000001</v>
      </c>
    </row>
    <row r="12" spans="1:7">
      <c r="A12" t="s">
        <v>1165</v>
      </c>
      <c r="B12">
        <v>26.9787234</v>
      </c>
      <c r="C12">
        <v>20.101063830000001</v>
      </c>
      <c r="D12">
        <v>2.6010638300000002</v>
      </c>
    </row>
    <row r="13" spans="1:7">
      <c r="A13" t="s">
        <v>1166</v>
      </c>
      <c r="B13">
        <v>24.24338624</v>
      </c>
      <c r="C13">
        <v>17.25396825</v>
      </c>
      <c r="D13">
        <v>3.9735449740000002</v>
      </c>
    </row>
    <row r="14" spans="1:7">
      <c r="A14" t="s">
        <v>1167</v>
      </c>
      <c r="B14">
        <v>23.218085110000001</v>
      </c>
      <c r="C14">
        <v>19.7606383</v>
      </c>
      <c r="D14">
        <v>3.5478723400000001</v>
      </c>
    </row>
    <row r="15" spans="1:7">
      <c r="A15" t="s">
        <v>1168</v>
      </c>
      <c r="B15">
        <v>26.359683789999998</v>
      </c>
      <c r="C15">
        <v>18.853754940000002</v>
      </c>
      <c r="D15">
        <v>3.5454545450000001</v>
      </c>
    </row>
    <row r="16" spans="1:7">
      <c r="A16" t="s">
        <v>1169</v>
      </c>
      <c r="B16">
        <v>25.142292489999999</v>
      </c>
      <c r="C16">
        <v>20.743082999999999</v>
      </c>
      <c r="D16">
        <v>3.4426877469999999</v>
      </c>
    </row>
    <row r="17" spans="1:4">
      <c r="A17" t="s">
        <v>1170</v>
      </c>
      <c r="B17">
        <v>27.537848610000001</v>
      </c>
      <c r="C17">
        <v>20.77689243</v>
      </c>
      <c r="D17">
        <v>3.2191235059999999</v>
      </c>
    </row>
    <row r="18" spans="1:4">
      <c r="A18" t="s">
        <v>1171</v>
      </c>
      <c r="B18">
        <v>28.808</v>
      </c>
      <c r="C18">
        <v>20.783999999999999</v>
      </c>
      <c r="D18">
        <v>3.4119999999999999</v>
      </c>
    </row>
    <row r="19" spans="1:4">
      <c r="A19" t="s">
        <v>1172</v>
      </c>
      <c r="B19">
        <v>29.378378380000001</v>
      </c>
      <c r="C19">
        <v>21.675675680000001</v>
      </c>
      <c r="D19">
        <v>3.7297297299999999</v>
      </c>
    </row>
    <row r="20" spans="1:4">
      <c r="A20" t="s">
        <v>1173</v>
      </c>
      <c r="B20">
        <v>30.680769229999999</v>
      </c>
      <c r="C20">
        <v>20.28846154</v>
      </c>
      <c r="D20">
        <v>3.8307692310000001</v>
      </c>
    </row>
    <row r="21" spans="1:4">
      <c r="A21" t="s">
        <v>1174</v>
      </c>
      <c r="B21">
        <v>28.569230770000001</v>
      </c>
      <c r="C21">
        <v>21.784615380000002</v>
      </c>
      <c r="D21">
        <v>5.1384615379999996</v>
      </c>
    </row>
    <row r="22" spans="1:4">
      <c r="A22" t="s">
        <v>1175</v>
      </c>
      <c r="B22">
        <v>30.47619048</v>
      </c>
      <c r="C22">
        <v>23.535714290000001</v>
      </c>
      <c r="D22">
        <v>5.9960317459999999</v>
      </c>
    </row>
    <row r="23" spans="1:4">
      <c r="A23" t="s">
        <v>1176</v>
      </c>
      <c r="B23">
        <v>29.801829269999999</v>
      </c>
      <c r="C23">
        <v>22.646341459999999</v>
      </c>
      <c r="D23">
        <v>5.125</v>
      </c>
    </row>
    <row r="24" spans="1:4">
      <c r="A24" t="s">
        <v>1177</v>
      </c>
      <c r="B24">
        <v>30.61538462</v>
      </c>
      <c r="C24">
        <v>22.06020067</v>
      </c>
      <c r="D24">
        <v>4.284280936</v>
      </c>
    </row>
    <row r="25" spans="1:4">
      <c r="A25" t="s">
        <v>1178</v>
      </c>
      <c r="B25">
        <v>31.603658540000001</v>
      </c>
      <c r="C25">
        <v>21.87804878</v>
      </c>
      <c r="D25">
        <v>5.1615853659999997</v>
      </c>
    </row>
    <row r="26" spans="1:4">
      <c r="A26" t="s">
        <v>1179</v>
      </c>
      <c r="B26">
        <v>32.015105740000003</v>
      </c>
      <c r="C26">
        <v>20.79456193</v>
      </c>
      <c r="D26">
        <v>5.4229607250000003</v>
      </c>
    </row>
    <row r="27" spans="1:4">
      <c r="A27" t="s">
        <v>1180</v>
      </c>
      <c r="B27">
        <v>30.454545450000001</v>
      </c>
      <c r="C27">
        <v>23.61818182</v>
      </c>
      <c r="D27">
        <v>4.733333333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E913-4553-4DDB-9988-2073CC1BE624}">
  <dimension ref="A1:L26"/>
  <sheetViews>
    <sheetView workbookViewId="0">
      <selection sqref="A1:L26"/>
    </sheetView>
  </sheetViews>
  <sheetFormatPr defaultRowHeight="15"/>
  <sheetData>
    <row r="1" spans="1:12">
      <c r="A1" t="s">
        <v>1185</v>
      </c>
      <c r="B1" t="s">
        <v>1186</v>
      </c>
      <c r="C1" t="s">
        <v>1187</v>
      </c>
      <c r="E1" t="s">
        <v>1185</v>
      </c>
      <c r="F1" t="s">
        <v>1188</v>
      </c>
      <c r="G1" t="s">
        <v>1189</v>
      </c>
      <c r="H1" t="s">
        <v>1190</v>
      </c>
      <c r="J1" t="s">
        <v>1185</v>
      </c>
      <c r="K1" t="s">
        <v>1191</v>
      </c>
      <c r="L1" t="s">
        <v>1192</v>
      </c>
    </row>
    <row r="2" spans="1:12">
      <c r="A2" t="s">
        <v>1156</v>
      </c>
      <c r="B2">
        <v>21.36708861</v>
      </c>
      <c r="C2">
        <v>29.240506329999999</v>
      </c>
      <c r="E2" t="s">
        <v>1156</v>
      </c>
      <c r="F2">
        <v>65.48734177</v>
      </c>
      <c r="G2">
        <v>45.537974679999998</v>
      </c>
      <c r="H2">
        <v>19.949367089999999</v>
      </c>
      <c r="J2" t="s">
        <v>1156</v>
      </c>
      <c r="K2">
        <v>21.79113924</v>
      </c>
      <c r="L2">
        <v>4.6075949367088596</v>
      </c>
    </row>
    <row r="3" spans="1:12">
      <c r="A3" t="s">
        <v>1157</v>
      </c>
      <c r="B3">
        <v>24.054545449999999</v>
      </c>
      <c r="C3">
        <v>28.203636360000001</v>
      </c>
      <c r="E3" t="s">
        <v>1157</v>
      </c>
      <c r="F3">
        <v>63.563636359999997</v>
      </c>
      <c r="G3">
        <v>43.77818182</v>
      </c>
      <c r="H3">
        <v>19.785454550000001</v>
      </c>
      <c r="J3" t="s">
        <v>1157</v>
      </c>
      <c r="K3">
        <v>18.050909090000001</v>
      </c>
      <c r="L3">
        <v>4.7781818181818103</v>
      </c>
    </row>
    <row r="4" spans="1:12">
      <c r="A4" t="s">
        <v>1158</v>
      </c>
      <c r="B4">
        <v>24.372727269999999</v>
      </c>
      <c r="C4">
        <v>25.759090910000001</v>
      </c>
      <c r="E4" t="s">
        <v>1158</v>
      </c>
      <c r="F4">
        <v>63.20909091</v>
      </c>
      <c r="G4">
        <v>44.15</v>
      </c>
      <c r="H4">
        <v>19.059090909999998</v>
      </c>
      <c r="J4" t="s">
        <v>1158</v>
      </c>
      <c r="K4">
        <v>17.81363636</v>
      </c>
      <c r="L4">
        <v>4.8272727272727201</v>
      </c>
    </row>
    <row r="5" spans="1:12">
      <c r="A5" t="s">
        <v>1159</v>
      </c>
      <c r="B5">
        <v>25.945454550000001</v>
      </c>
      <c r="C5">
        <v>25.59090909</v>
      </c>
      <c r="E5" t="s">
        <v>1159</v>
      </c>
      <c r="F5">
        <v>62.295454550000002</v>
      </c>
      <c r="G5">
        <v>43.06818182</v>
      </c>
      <c r="H5">
        <v>19.227272729999999</v>
      </c>
      <c r="J5" t="s">
        <v>1159</v>
      </c>
      <c r="K5">
        <v>18.822727270000001</v>
      </c>
      <c r="L5">
        <v>4.4818181818181797</v>
      </c>
    </row>
    <row r="6" spans="1:12">
      <c r="A6" t="s">
        <v>1160</v>
      </c>
      <c r="B6">
        <v>25.550218340000001</v>
      </c>
      <c r="C6">
        <v>26.89082969</v>
      </c>
      <c r="E6" t="s">
        <v>1160</v>
      </c>
      <c r="F6">
        <v>64.353711790000006</v>
      </c>
      <c r="G6">
        <v>44.698689960000003</v>
      </c>
      <c r="H6">
        <v>19.655021829999999</v>
      </c>
      <c r="J6" t="s">
        <v>1160</v>
      </c>
      <c r="K6">
        <v>20.074235810000001</v>
      </c>
      <c r="L6">
        <v>5.0218340611353698</v>
      </c>
    </row>
    <row r="7" spans="1:12">
      <c r="A7" t="s">
        <v>1161</v>
      </c>
      <c r="B7">
        <v>25.06493506</v>
      </c>
      <c r="C7">
        <v>27.610389609999999</v>
      </c>
      <c r="E7" t="s">
        <v>1161</v>
      </c>
      <c r="F7">
        <v>65.216450219999999</v>
      </c>
      <c r="G7">
        <v>45.76190476</v>
      </c>
      <c r="H7">
        <v>19.454545450000001</v>
      </c>
      <c r="J7" t="s">
        <v>1161</v>
      </c>
      <c r="K7">
        <v>21.259740260000001</v>
      </c>
      <c r="L7">
        <v>4.9090909090909003</v>
      </c>
    </row>
    <row r="8" spans="1:12">
      <c r="A8" t="s">
        <v>1162</v>
      </c>
      <c r="B8">
        <v>25.7</v>
      </c>
      <c r="C8">
        <v>28.404347829999999</v>
      </c>
      <c r="E8" t="s">
        <v>1162</v>
      </c>
      <c r="F8">
        <v>64.830434780000004</v>
      </c>
      <c r="G8">
        <v>45.252173910000003</v>
      </c>
      <c r="H8">
        <v>19.578260870000001</v>
      </c>
      <c r="J8" t="s">
        <v>1162</v>
      </c>
      <c r="K8">
        <v>22.034782610000001</v>
      </c>
      <c r="L8">
        <v>4.9086956521739102</v>
      </c>
    </row>
    <row r="9" spans="1:12">
      <c r="A9" t="s">
        <v>1163</v>
      </c>
      <c r="B9">
        <v>25.81385281</v>
      </c>
      <c r="C9">
        <v>27.203463200000002</v>
      </c>
      <c r="E9" t="s">
        <v>1163</v>
      </c>
      <c r="F9">
        <v>63.173160170000003</v>
      </c>
      <c r="G9">
        <v>44.58008658</v>
      </c>
      <c r="H9">
        <v>18.593073589999999</v>
      </c>
      <c r="J9" t="s">
        <v>1163</v>
      </c>
      <c r="K9">
        <v>17.87012987</v>
      </c>
      <c r="L9">
        <v>5.25541125541125</v>
      </c>
    </row>
    <row r="10" spans="1:12">
      <c r="A10" t="s">
        <v>1164</v>
      </c>
      <c r="B10">
        <v>25</v>
      </c>
      <c r="C10">
        <v>27.56382979</v>
      </c>
      <c r="E10" t="s">
        <v>1164</v>
      </c>
      <c r="F10">
        <v>64.340425530000005</v>
      </c>
      <c r="G10">
        <v>44.218085109999997</v>
      </c>
      <c r="H10">
        <v>20.122340430000001</v>
      </c>
      <c r="J10" t="s">
        <v>1164</v>
      </c>
      <c r="K10">
        <v>16.0106383</v>
      </c>
      <c r="L10">
        <v>5.3404255319148897</v>
      </c>
    </row>
    <row r="11" spans="1:12">
      <c r="A11" t="s">
        <v>1165</v>
      </c>
      <c r="B11">
        <v>27.70744681</v>
      </c>
      <c r="C11">
        <v>28.218085110000001</v>
      </c>
      <c r="E11" t="s">
        <v>1165</v>
      </c>
      <c r="F11">
        <v>64.148936169999999</v>
      </c>
      <c r="G11">
        <v>45.260638299999997</v>
      </c>
      <c r="H11">
        <v>18.888297869999999</v>
      </c>
      <c r="J11" t="s">
        <v>1165</v>
      </c>
      <c r="K11">
        <v>14.73404255</v>
      </c>
      <c r="L11">
        <v>5.3404255319148897</v>
      </c>
    </row>
    <row r="12" spans="1:12">
      <c r="A12" t="s">
        <v>1166</v>
      </c>
      <c r="B12">
        <v>27.465608469999999</v>
      </c>
      <c r="C12">
        <v>27.788359790000001</v>
      </c>
      <c r="E12" t="s">
        <v>1166</v>
      </c>
      <c r="F12">
        <v>67.671957669999998</v>
      </c>
      <c r="G12">
        <v>46.783068780000001</v>
      </c>
      <c r="H12">
        <v>20.88888889</v>
      </c>
      <c r="J12" t="s">
        <v>1166</v>
      </c>
      <c r="K12">
        <v>13.862433859999999</v>
      </c>
      <c r="L12">
        <v>5.3280423280423204</v>
      </c>
    </row>
    <row r="13" spans="1:12">
      <c r="A13" t="s">
        <v>1167</v>
      </c>
      <c r="B13">
        <v>28.0212766</v>
      </c>
      <c r="C13">
        <v>26.170212769999999</v>
      </c>
      <c r="E13" t="s">
        <v>1167</v>
      </c>
      <c r="F13">
        <v>67.585106379999999</v>
      </c>
      <c r="G13">
        <v>47.925531909999997</v>
      </c>
      <c r="H13">
        <v>19.659574469999999</v>
      </c>
      <c r="J13" t="s">
        <v>1167</v>
      </c>
      <c r="K13">
        <v>12.335106379999999</v>
      </c>
      <c r="L13">
        <v>5.5159574468085104</v>
      </c>
    </row>
    <row r="14" spans="1:12">
      <c r="A14" t="s">
        <v>1168</v>
      </c>
      <c r="B14">
        <v>29.44664032</v>
      </c>
      <c r="C14">
        <v>26.217391299999999</v>
      </c>
      <c r="E14" t="s">
        <v>1168</v>
      </c>
      <c r="F14">
        <v>66.948616599999994</v>
      </c>
      <c r="G14">
        <v>46.758893280000002</v>
      </c>
      <c r="H14">
        <v>20.189723319999999</v>
      </c>
      <c r="J14" t="s">
        <v>1168</v>
      </c>
      <c r="K14">
        <v>11.59288538</v>
      </c>
      <c r="L14">
        <v>5.4940711462450498</v>
      </c>
    </row>
    <row r="15" spans="1:12">
      <c r="A15" t="s">
        <v>1169</v>
      </c>
      <c r="B15">
        <v>32.03162055</v>
      </c>
      <c r="C15">
        <v>25.01581028</v>
      </c>
      <c r="E15" t="s">
        <v>1169</v>
      </c>
      <c r="F15">
        <v>67.023715420000002</v>
      </c>
      <c r="G15">
        <v>46.577075100000002</v>
      </c>
      <c r="H15">
        <v>20.44664032</v>
      </c>
      <c r="J15" t="s">
        <v>1169</v>
      </c>
      <c r="K15">
        <v>12.067193680000001</v>
      </c>
      <c r="L15">
        <v>5.3873517786561198</v>
      </c>
    </row>
    <row r="16" spans="1:12">
      <c r="A16" t="s">
        <v>1170</v>
      </c>
      <c r="B16">
        <v>34.254980080000003</v>
      </c>
      <c r="C16">
        <v>24.876494019999999</v>
      </c>
      <c r="E16" t="s">
        <v>1170</v>
      </c>
      <c r="F16">
        <v>70.195219120000004</v>
      </c>
      <c r="G16">
        <v>49.071713150000001</v>
      </c>
      <c r="H16">
        <v>21.123505980000001</v>
      </c>
      <c r="J16" t="s">
        <v>1170</v>
      </c>
      <c r="K16">
        <v>12.705179279999999</v>
      </c>
      <c r="L16">
        <v>5.6772908366533796</v>
      </c>
    </row>
    <row r="17" spans="1:12">
      <c r="A17" t="s">
        <v>1171</v>
      </c>
      <c r="B17">
        <v>34.408000000000001</v>
      </c>
      <c r="C17">
        <v>26.288</v>
      </c>
      <c r="E17" t="s">
        <v>1171</v>
      </c>
      <c r="F17">
        <v>68.652000000000001</v>
      </c>
      <c r="G17">
        <v>47.868000000000002</v>
      </c>
      <c r="H17">
        <v>20.783999999999999</v>
      </c>
      <c r="J17" t="s">
        <v>1171</v>
      </c>
      <c r="K17">
        <v>12.66</v>
      </c>
      <c r="L17">
        <v>5.4560000000000004</v>
      </c>
    </row>
    <row r="18" spans="1:12">
      <c r="A18" t="s">
        <v>1172</v>
      </c>
      <c r="B18">
        <v>34.895752899999998</v>
      </c>
      <c r="C18">
        <v>25.56370656</v>
      </c>
      <c r="E18" t="s">
        <v>1172</v>
      </c>
      <c r="F18">
        <v>68.096525099999994</v>
      </c>
      <c r="G18">
        <v>47.579150579999997</v>
      </c>
      <c r="H18">
        <v>20.517374520000001</v>
      </c>
      <c r="J18" t="s">
        <v>1172</v>
      </c>
      <c r="K18">
        <v>13.03088803</v>
      </c>
      <c r="L18">
        <v>5.4440154440154398</v>
      </c>
    </row>
    <row r="19" spans="1:12">
      <c r="A19" t="s">
        <v>1173</v>
      </c>
      <c r="B19">
        <v>35.38461538</v>
      </c>
      <c r="C19">
        <v>23.665384620000001</v>
      </c>
      <c r="E19" t="s">
        <v>1173</v>
      </c>
      <c r="F19">
        <v>67.011538459999997</v>
      </c>
      <c r="G19">
        <v>46.223076919999997</v>
      </c>
      <c r="H19">
        <v>20.78846154</v>
      </c>
      <c r="J19" t="s">
        <v>1173</v>
      </c>
      <c r="K19">
        <v>12.36923077</v>
      </c>
      <c r="L19">
        <v>5.13846153846153</v>
      </c>
    </row>
    <row r="20" spans="1:12">
      <c r="A20" t="s">
        <v>1174</v>
      </c>
      <c r="B20">
        <v>34.888461540000002</v>
      </c>
      <c r="C20">
        <v>24.257692309999999</v>
      </c>
      <c r="E20" t="s">
        <v>1174</v>
      </c>
      <c r="F20">
        <v>66.650000000000006</v>
      </c>
      <c r="G20">
        <v>46.32692308</v>
      </c>
      <c r="H20">
        <v>20.323076919999998</v>
      </c>
      <c r="J20" t="s">
        <v>1174</v>
      </c>
      <c r="K20">
        <v>12.67307692</v>
      </c>
      <c r="L20">
        <v>4.9769230769230699</v>
      </c>
    </row>
    <row r="21" spans="1:12">
      <c r="A21" t="s">
        <v>1175</v>
      </c>
      <c r="B21">
        <v>34.75793651</v>
      </c>
      <c r="C21">
        <v>25.9047619</v>
      </c>
      <c r="E21" t="s">
        <v>1175</v>
      </c>
      <c r="F21">
        <v>67.50396825</v>
      </c>
      <c r="G21">
        <v>46.813492060000002</v>
      </c>
      <c r="H21">
        <v>20.690476189999998</v>
      </c>
      <c r="J21" t="s">
        <v>1175</v>
      </c>
      <c r="K21">
        <v>13.019841270000001</v>
      </c>
      <c r="L21">
        <v>4.9682539682539604</v>
      </c>
    </row>
    <row r="22" spans="1:12">
      <c r="A22" t="s">
        <v>1176</v>
      </c>
      <c r="B22">
        <v>35.103658539999998</v>
      </c>
      <c r="C22">
        <v>26.524390239999999</v>
      </c>
      <c r="E22" t="s">
        <v>1176</v>
      </c>
      <c r="F22">
        <v>64.81707317</v>
      </c>
      <c r="G22">
        <v>45.457317070000002</v>
      </c>
      <c r="H22">
        <v>19.359756099999998</v>
      </c>
      <c r="J22" t="s">
        <v>1176</v>
      </c>
      <c r="K22">
        <v>13.45426829</v>
      </c>
      <c r="L22">
        <v>4.8445121951219496</v>
      </c>
    </row>
    <row r="23" spans="1:12">
      <c r="A23" t="s">
        <v>1177</v>
      </c>
      <c r="B23">
        <v>32.806020070000002</v>
      </c>
      <c r="C23">
        <v>24.595317730000001</v>
      </c>
      <c r="E23" t="s">
        <v>1177</v>
      </c>
      <c r="F23">
        <v>66.525083609999996</v>
      </c>
      <c r="G23">
        <v>46.688963209999997</v>
      </c>
      <c r="H23">
        <v>19.836120399999999</v>
      </c>
      <c r="J23" t="s">
        <v>1177</v>
      </c>
      <c r="K23">
        <v>12.94314381</v>
      </c>
      <c r="L23">
        <v>4.5618729096989901</v>
      </c>
    </row>
    <row r="24" spans="1:12">
      <c r="A24" t="s">
        <v>1178</v>
      </c>
      <c r="B24">
        <v>34.036585369999997</v>
      </c>
      <c r="C24">
        <v>24.603658540000001</v>
      </c>
      <c r="E24" t="s">
        <v>1178</v>
      </c>
      <c r="F24">
        <v>66.487804879999999</v>
      </c>
      <c r="G24">
        <v>46.094512199999997</v>
      </c>
      <c r="H24">
        <v>20.393292679999998</v>
      </c>
      <c r="J24" t="s">
        <v>1178</v>
      </c>
      <c r="K24">
        <v>13.04573171</v>
      </c>
      <c r="L24">
        <v>4.7560975609756104</v>
      </c>
    </row>
    <row r="25" spans="1:12">
      <c r="A25" t="s">
        <v>1179</v>
      </c>
      <c r="B25">
        <v>35.335347429999999</v>
      </c>
      <c r="C25">
        <v>24.643504530000001</v>
      </c>
      <c r="E25" t="s">
        <v>1179</v>
      </c>
      <c r="F25">
        <v>67.658610269999997</v>
      </c>
      <c r="G25">
        <v>46.824773409999999</v>
      </c>
      <c r="H25">
        <v>20.833836860000002</v>
      </c>
      <c r="J25" t="s">
        <v>1179</v>
      </c>
      <c r="K25">
        <v>13.11178248</v>
      </c>
      <c r="L25">
        <v>4.8277945619335298</v>
      </c>
    </row>
    <row r="26" spans="1:12">
      <c r="A26" t="s">
        <v>1180</v>
      </c>
      <c r="B26">
        <v>36.866666670000001</v>
      </c>
      <c r="C26">
        <v>24.633333329999999</v>
      </c>
      <c r="E26" t="s">
        <v>1180</v>
      </c>
      <c r="F26">
        <v>67.900000000000006</v>
      </c>
      <c r="G26">
        <v>46.306060610000003</v>
      </c>
      <c r="H26">
        <v>21.593939389999999</v>
      </c>
      <c r="J26" t="s">
        <v>1180</v>
      </c>
      <c r="K26">
        <v>12.890909089999999</v>
      </c>
      <c r="L26">
        <v>4.7696969696969704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9B79-6FA8-469B-AD8C-9F0072F6AEC8}">
  <dimension ref="A1:G27"/>
  <sheetViews>
    <sheetView workbookViewId="0">
      <selection activeCell="L12" sqref="L12"/>
    </sheetView>
  </sheetViews>
  <sheetFormatPr defaultRowHeight="15"/>
  <sheetData>
    <row r="1" spans="1:7">
      <c r="A1" t="s">
        <v>1193</v>
      </c>
      <c r="B1" t="s">
        <v>1194</v>
      </c>
      <c r="C1" t="s">
        <v>1195</v>
      </c>
      <c r="E1" t="s">
        <v>1193</v>
      </c>
      <c r="F1" t="s">
        <v>1194</v>
      </c>
      <c r="G1" t="s">
        <v>1195</v>
      </c>
    </row>
    <row r="2" spans="1:7">
      <c r="A2" t="s">
        <v>0</v>
      </c>
      <c r="B2">
        <v>5461</v>
      </c>
      <c r="C2">
        <v>16204</v>
      </c>
      <c r="E2" t="s">
        <v>0</v>
      </c>
      <c r="F2">
        <f>100*B2/(B2+C2)</f>
        <v>25.206554350334642</v>
      </c>
      <c r="G2">
        <f>100*C2/(B2+C2)</f>
        <v>74.793445649665358</v>
      </c>
    </row>
    <row r="3" spans="1:7">
      <c r="A3" t="s">
        <v>1</v>
      </c>
      <c r="B3">
        <v>8219</v>
      </c>
      <c r="C3">
        <v>32608</v>
      </c>
      <c r="E3" t="s">
        <v>1</v>
      </c>
      <c r="F3">
        <f t="shared" ref="F3:F26" si="0">100*B3/(B3+C3)</f>
        <v>20.131285668797609</v>
      </c>
      <c r="G3">
        <f t="shared" ref="G3:G26" si="1">100*C3/(B3+C3)</f>
        <v>79.868714331202384</v>
      </c>
    </row>
    <row r="4" spans="1:7">
      <c r="A4" t="s">
        <v>2</v>
      </c>
      <c r="B4">
        <v>6980</v>
      </c>
      <c r="C4">
        <v>26343</v>
      </c>
      <c r="E4" t="s">
        <v>2</v>
      </c>
      <c r="F4">
        <f t="shared" si="0"/>
        <v>20.946493412958016</v>
      </c>
      <c r="G4">
        <f t="shared" si="1"/>
        <v>79.05350658704198</v>
      </c>
    </row>
    <row r="5" spans="1:7">
      <c r="A5" t="s">
        <v>3</v>
      </c>
      <c r="B5">
        <v>7270</v>
      </c>
      <c r="C5">
        <v>26282</v>
      </c>
      <c r="E5" t="s">
        <v>3</v>
      </c>
      <c r="F5">
        <f t="shared" si="0"/>
        <v>21.667858845970432</v>
      </c>
      <c r="G5">
        <f t="shared" si="1"/>
        <v>78.332141154029571</v>
      </c>
    </row>
    <row r="6" spans="1:7">
      <c r="A6" t="s">
        <v>4</v>
      </c>
      <c r="B6">
        <v>8202</v>
      </c>
      <c r="C6">
        <v>26468</v>
      </c>
      <c r="E6" t="s">
        <v>4</v>
      </c>
      <c r="F6">
        <f t="shared" si="0"/>
        <v>23.657340640323046</v>
      </c>
      <c r="G6">
        <f t="shared" si="1"/>
        <v>76.342659359676958</v>
      </c>
    </row>
    <row r="7" spans="1:7">
      <c r="A7" t="s">
        <v>5</v>
      </c>
      <c r="B7">
        <v>10174</v>
      </c>
      <c r="C7">
        <v>23147</v>
      </c>
      <c r="E7" t="s">
        <v>5</v>
      </c>
      <c r="F7">
        <f t="shared" si="0"/>
        <v>30.533297320008405</v>
      </c>
      <c r="G7">
        <f t="shared" si="1"/>
        <v>69.466702679991599</v>
      </c>
    </row>
    <row r="8" spans="1:7">
      <c r="A8" t="s">
        <v>6</v>
      </c>
      <c r="B8">
        <v>10426</v>
      </c>
      <c r="C8">
        <v>23405</v>
      </c>
      <c r="E8" t="s">
        <v>6</v>
      </c>
      <c r="F8">
        <f t="shared" si="0"/>
        <v>30.817888918447579</v>
      </c>
      <c r="G8">
        <f t="shared" si="1"/>
        <v>69.182111081552421</v>
      </c>
    </row>
    <row r="9" spans="1:7">
      <c r="A9" t="s">
        <v>7</v>
      </c>
      <c r="B9">
        <v>12113</v>
      </c>
      <c r="C9">
        <v>22324</v>
      </c>
      <c r="E9" t="s">
        <v>7</v>
      </c>
      <c r="F9">
        <f t="shared" si="0"/>
        <v>35.174376397479456</v>
      </c>
      <c r="G9">
        <f t="shared" si="1"/>
        <v>64.825623602520551</v>
      </c>
    </row>
    <row r="10" spans="1:7">
      <c r="A10" t="s">
        <v>8</v>
      </c>
      <c r="B10">
        <v>9567</v>
      </c>
      <c r="C10">
        <v>19275</v>
      </c>
      <c r="E10" t="s">
        <v>8</v>
      </c>
      <c r="F10">
        <f t="shared" si="0"/>
        <v>33.170376534220928</v>
      </c>
      <c r="G10">
        <f t="shared" si="1"/>
        <v>66.829623465779079</v>
      </c>
    </row>
    <row r="11" spans="1:7">
      <c r="A11" t="s">
        <v>9</v>
      </c>
      <c r="B11">
        <v>9232</v>
      </c>
      <c r="C11">
        <v>18349</v>
      </c>
      <c r="E11" t="s">
        <v>9</v>
      </c>
      <c r="F11">
        <f t="shared" si="0"/>
        <v>33.472317900003624</v>
      </c>
      <c r="G11">
        <f t="shared" si="1"/>
        <v>66.527682099996369</v>
      </c>
    </row>
    <row r="12" spans="1:7">
      <c r="A12" t="s">
        <v>10</v>
      </c>
      <c r="B12">
        <v>7826</v>
      </c>
      <c r="C12">
        <v>19925</v>
      </c>
      <c r="E12" t="s">
        <v>10</v>
      </c>
      <c r="F12">
        <f t="shared" si="0"/>
        <v>28.200785557277214</v>
      </c>
      <c r="G12">
        <f t="shared" si="1"/>
        <v>71.799214442722786</v>
      </c>
    </row>
    <row r="13" spans="1:7">
      <c r="A13" t="s">
        <v>11</v>
      </c>
      <c r="B13">
        <v>8169</v>
      </c>
      <c r="C13">
        <v>19339</v>
      </c>
      <c r="E13" t="s">
        <v>11</v>
      </c>
      <c r="F13">
        <f t="shared" si="0"/>
        <v>29.696815471862731</v>
      </c>
      <c r="G13">
        <f t="shared" si="1"/>
        <v>70.303184528137265</v>
      </c>
    </row>
    <row r="14" spans="1:7">
      <c r="A14" t="s">
        <v>12</v>
      </c>
      <c r="B14">
        <v>12338</v>
      </c>
      <c r="C14">
        <v>25677</v>
      </c>
      <c r="E14" t="s">
        <v>12</v>
      </c>
      <c r="F14">
        <f t="shared" si="0"/>
        <v>32.455609627778507</v>
      </c>
      <c r="G14">
        <f t="shared" si="1"/>
        <v>67.544390372221486</v>
      </c>
    </row>
    <row r="15" spans="1:7">
      <c r="A15" t="s">
        <v>13</v>
      </c>
      <c r="B15">
        <v>12562</v>
      </c>
      <c r="C15">
        <v>25369</v>
      </c>
      <c r="E15" t="s">
        <v>13</v>
      </c>
      <c r="F15">
        <f t="shared" si="0"/>
        <v>33.1180301073001</v>
      </c>
      <c r="G15">
        <f t="shared" si="1"/>
        <v>66.8819698926999</v>
      </c>
    </row>
    <row r="16" spans="1:7">
      <c r="A16" t="s">
        <v>14</v>
      </c>
      <c r="B16">
        <v>13277</v>
      </c>
      <c r="C16">
        <v>25992</v>
      </c>
      <c r="E16" t="s">
        <v>14</v>
      </c>
      <c r="F16">
        <f t="shared" si="0"/>
        <v>33.81038478188902</v>
      </c>
      <c r="G16">
        <f t="shared" si="1"/>
        <v>66.189615218110973</v>
      </c>
    </row>
    <row r="17" spans="1:7">
      <c r="A17" t="s">
        <v>15</v>
      </c>
      <c r="B17">
        <v>13344</v>
      </c>
      <c r="C17">
        <v>25375</v>
      </c>
      <c r="E17" t="s">
        <v>15</v>
      </c>
      <c r="F17">
        <f t="shared" si="0"/>
        <v>34.463699992251868</v>
      </c>
      <c r="G17">
        <f t="shared" si="1"/>
        <v>65.536300007748139</v>
      </c>
    </row>
    <row r="18" spans="1:7">
      <c r="A18" t="s">
        <v>16</v>
      </c>
      <c r="B18">
        <v>16437</v>
      </c>
      <c r="C18">
        <v>24483</v>
      </c>
      <c r="E18" t="s">
        <v>16</v>
      </c>
      <c r="F18">
        <f t="shared" si="0"/>
        <v>40.168621700879768</v>
      </c>
      <c r="G18">
        <f t="shared" si="1"/>
        <v>59.831378299120232</v>
      </c>
    </row>
    <row r="19" spans="1:7">
      <c r="A19" t="s">
        <v>17</v>
      </c>
      <c r="B19">
        <v>15356</v>
      </c>
      <c r="C19">
        <v>26534</v>
      </c>
      <c r="E19" t="s">
        <v>17</v>
      </c>
      <c r="F19">
        <f t="shared" si="0"/>
        <v>36.65791358319408</v>
      </c>
      <c r="G19">
        <f t="shared" si="1"/>
        <v>63.34208641680592</v>
      </c>
    </row>
    <row r="20" spans="1:7">
      <c r="A20" t="s">
        <v>18</v>
      </c>
      <c r="B20">
        <v>15570</v>
      </c>
      <c r="C20">
        <v>25191</v>
      </c>
      <c r="E20" t="s">
        <v>18</v>
      </c>
      <c r="F20">
        <f t="shared" si="0"/>
        <v>38.198277765511151</v>
      </c>
      <c r="G20">
        <f t="shared" si="1"/>
        <v>61.801722234488849</v>
      </c>
    </row>
    <row r="21" spans="1:7">
      <c r="A21" t="s">
        <v>19</v>
      </c>
      <c r="B21">
        <v>15007</v>
      </c>
      <c r="C21">
        <v>24137</v>
      </c>
      <c r="E21" t="s">
        <v>19</v>
      </c>
      <c r="F21">
        <f t="shared" si="0"/>
        <v>38.337931739219293</v>
      </c>
      <c r="G21">
        <f t="shared" si="1"/>
        <v>61.662068260780707</v>
      </c>
    </row>
    <row r="22" spans="1:7">
      <c r="A22" t="s">
        <v>20</v>
      </c>
      <c r="B22">
        <v>18983</v>
      </c>
      <c r="C22">
        <v>30760</v>
      </c>
      <c r="E22" t="s">
        <v>20</v>
      </c>
      <c r="F22">
        <f t="shared" si="0"/>
        <v>38.162153468829786</v>
      </c>
      <c r="G22">
        <f t="shared" si="1"/>
        <v>61.837846531170214</v>
      </c>
    </row>
    <row r="23" spans="1:7">
      <c r="A23" t="s">
        <v>21</v>
      </c>
      <c r="B23">
        <v>17620</v>
      </c>
      <c r="C23">
        <v>26722</v>
      </c>
      <c r="E23" t="s">
        <v>21</v>
      </c>
      <c r="F23">
        <f t="shared" si="0"/>
        <v>39.736592846511208</v>
      </c>
      <c r="G23">
        <f t="shared" si="1"/>
        <v>60.263407153488792</v>
      </c>
    </row>
    <row r="24" spans="1:7">
      <c r="A24" t="s">
        <v>22</v>
      </c>
      <c r="B24">
        <v>19121</v>
      </c>
      <c r="C24">
        <v>30494</v>
      </c>
      <c r="E24" t="s">
        <v>22</v>
      </c>
      <c r="F24">
        <f t="shared" si="0"/>
        <v>38.538748362390407</v>
      </c>
      <c r="G24">
        <f t="shared" si="1"/>
        <v>61.461251637609593</v>
      </c>
    </row>
    <row r="25" spans="1:7">
      <c r="A25" t="s">
        <v>23</v>
      </c>
      <c r="B25">
        <v>20498</v>
      </c>
      <c r="C25">
        <v>30868</v>
      </c>
      <c r="E25" t="s">
        <v>23</v>
      </c>
      <c r="F25">
        <f t="shared" si="0"/>
        <v>39.905774247556749</v>
      </c>
      <c r="G25">
        <f t="shared" si="1"/>
        <v>60.094225752443251</v>
      </c>
    </row>
    <row r="26" spans="1:7">
      <c r="A26" t="s">
        <v>24</v>
      </c>
      <c r="B26">
        <v>21248</v>
      </c>
      <c r="C26">
        <v>33031</v>
      </c>
      <c r="E26" t="s">
        <v>24</v>
      </c>
      <c r="F26">
        <f t="shared" si="0"/>
        <v>39.145894360618286</v>
      </c>
      <c r="G26">
        <f t="shared" si="1"/>
        <v>60.854105639381714</v>
      </c>
    </row>
    <row r="27" spans="1:7">
      <c r="A27" t="s">
        <v>1196</v>
      </c>
      <c r="B27">
        <v>8203</v>
      </c>
      <c r="C27">
        <v>10479</v>
      </c>
      <c r="E27" t="s">
        <v>1196</v>
      </c>
      <c r="F27">
        <f t="shared" ref="F27" si="2">B27/(B27+C27)</f>
        <v>0.43908575099025798</v>
      </c>
      <c r="G27">
        <f t="shared" ref="G27" si="3">C27/(B27+C27)</f>
        <v>0.56091424900974196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D100-E11C-46FC-B58E-BEF2EA44CC08}">
  <dimension ref="A1:L26"/>
  <sheetViews>
    <sheetView tabSelected="1" workbookViewId="0">
      <selection activeCell="Q41" sqref="Q41"/>
    </sheetView>
  </sheetViews>
  <sheetFormatPr defaultRowHeight="15"/>
  <cols>
    <col min="1" max="1" width="24.42578125" customWidth="1"/>
  </cols>
  <sheetData>
    <row r="1" spans="1:12">
      <c r="A1" t="s">
        <v>25</v>
      </c>
      <c r="B1" t="s">
        <v>1197</v>
      </c>
      <c r="C1" t="s">
        <v>1198</v>
      </c>
      <c r="D1" t="s">
        <v>1199</v>
      </c>
      <c r="E1" t="s">
        <v>1200</v>
      </c>
      <c r="F1" t="s">
        <v>1201</v>
      </c>
      <c r="H1" t="s">
        <v>1202</v>
      </c>
      <c r="I1" t="s">
        <v>1198</v>
      </c>
      <c r="J1" t="s">
        <v>1199</v>
      </c>
      <c r="K1" t="s">
        <v>1200</v>
      </c>
      <c r="L1" t="s">
        <v>1201</v>
      </c>
    </row>
    <row r="2" spans="1:12">
      <c r="A2" t="s">
        <v>1156</v>
      </c>
      <c r="B2">
        <v>33</v>
      </c>
      <c r="C2">
        <v>7</v>
      </c>
      <c r="D2">
        <f>B2+C2</f>
        <v>40</v>
      </c>
      <c r="E2">
        <v>158</v>
      </c>
      <c r="F2">
        <f>D2/E2</f>
        <v>0.25316455696202533</v>
      </c>
      <c r="G2">
        <f>F2*100</f>
        <v>25.316455696202532</v>
      </c>
      <c r="H2">
        <v>20</v>
      </c>
      <c r="I2">
        <v>7</v>
      </c>
      <c r="J2">
        <f>H2+I2</f>
        <v>27</v>
      </c>
      <c r="K2">
        <v>158</v>
      </c>
      <c r="L2">
        <f>J2/K2</f>
        <v>0.17088607594936708</v>
      </c>
    </row>
    <row r="3" spans="1:12">
      <c r="A3" t="s">
        <v>1157</v>
      </c>
      <c r="B3">
        <v>74</v>
      </c>
      <c r="C3">
        <v>12</v>
      </c>
      <c r="D3">
        <f t="shared" ref="D3:D26" si="0">B3+C3</f>
        <v>86</v>
      </c>
      <c r="E3">
        <v>275</v>
      </c>
      <c r="F3">
        <f t="shared" ref="F3:F26" si="1">D3/E3</f>
        <v>0.31272727272727274</v>
      </c>
      <c r="H3">
        <v>37</v>
      </c>
      <c r="I3">
        <v>12</v>
      </c>
      <c r="J3">
        <f t="shared" ref="J3:J26" si="2">H3+I3</f>
        <v>49</v>
      </c>
      <c r="K3">
        <v>275</v>
      </c>
      <c r="L3">
        <f t="shared" ref="L3:L26" si="3">J3/K3</f>
        <v>0.17818181818181819</v>
      </c>
    </row>
    <row r="4" spans="1:12">
      <c r="A4" t="s">
        <v>1158</v>
      </c>
      <c r="B4">
        <v>59</v>
      </c>
      <c r="C4">
        <v>9</v>
      </c>
      <c r="D4">
        <f t="shared" si="0"/>
        <v>68</v>
      </c>
      <c r="E4">
        <v>220</v>
      </c>
      <c r="F4">
        <f t="shared" si="1"/>
        <v>0.30909090909090908</v>
      </c>
      <c r="H4">
        <v>36</v>
      </c>
      <c r="I4">
        <v>9</v>
      </c>
      <c r="J4">
        <f t="shared" si="2"/>
        <v>45</v>
      </c>
      <c r="K4">
        <v>220</v>
      </c>
      <c r="L4">
        <f t="shared" si="3"/>
        <v>0.20454545454545456</v>
      </c>
    </row>
    <row r="5" spans="1:12">
      <c r="A5" t="s">
        <v>1159</v>
      </c>
      <c r="B5">
        <v>57</v>
      </c>
      <c r="C5">
        <v>12</v>
      </c>
      <c r="D5">
        <f t="shared" si="0"/>
        <v>69</v>
      </c>
      <c r="E5">
        <v>220</v>
      </c>
      <c r="F5">
        <f t="shared" si="1"/>
        <v>0.31363636363636366</v>
      </c>
      <c r="H5">
        <v>39</v>
      </c>
      <c r="I5">
        <v>12</v>
      </c>
      <c r="J5">
        <f t="shared" si="2"/>
        <v>51</v>
      </c>
      <c r="K5">
        <v>220</v>
      </c>
      <c r="L5">
        <f t="shared" si="3"/>
        <v>0.23181818181818181</v>
      </c>
    </row>
    <row r="6" spans="1:12">
      <c r="A6" t="s">
        <v>1160</v>
      </c>
      <c r="B6">
        <v>64</v>
      </c>
      <c r="C6">
        <v>12</v>
      </c>
      <c r="D6">
        <f t="shared" si="0"/>
        <v>76</v>
      </c>
      <c r="E6">
        <v>229</v>
      </c>
      <c r="F6">
        <f t="shared" si="1"/>
        <v>0.33187772925764192</v>
      </c>
      <c r="H6">
        <v>32</v>
      </c>
      <c r="I6">
        <v>12</v>
      </c>
      <c r="J6">
        <f t="shared" si="2"/>
        <v>44</v>
      </c>
      <c r="K6">
        <v>229</v>
      </c>
      <c r="L6">
        <f t="shared" si="3"/>
        <v>0.19213973799126638</v>
      </c>
    </row>
    <row r="7" spans="1:12">
      <c r="A7" t="s">
        <v>1161</v>
      </c>
      <c r="B7">
        <v>59</v>
      </c>
      <c r="C7">
        <v>9</v>
      </c>
      <c r="D7">
        <f t="shared" si="0"/>
        <v>68</v>
      </c>
      <c r="E7">
        <v>231</v>
      </c>
      <c r="F7">
        <f t="shared" si="1"/>
        <v>0.2943722943722944</v>
      </c>
      <c r="H7">
        <v>28</v>
      </c>
      <c r="I7">
        <v>9</v>
      </c>
      <c r="J7">
        <f t="shared" si="2"/>
        <v>37</v>
      </c>
      <c r="K7">
        <v>231</v>
      </c>
      <c r="L7">
        <f t="shared" si="3"/>
        <v>0.16017316017316016</v>
      </c>
    </row>
    <row r="8" spans="1:12">
      <c r="A8" t="s">
        <v>1162</v>
      </c>
      <c r="B8">
        <v>57</v>
      </c>
      <c r="C8">
        <v>16</v>
      </c>
      <c r="D8">
        <f t="shared" si="0"/>
        <v>73</v>
      </c>
      <c r="E8">
        <v>230</v>
      </c>
      <c r="F8">
        <f t="shared" si="1"/>
        <v>0.31739130434782609</v>
      </c>
      <c r="H8">
        <v>35</v>
      </c>
      <c r="I8">
        <v>16</v>
      </c>
      <c r="J8">
        <f t="shared" si="2"/>
        <v>51</v>
      </c>
      <c r="K8">
        <v>230</v>
      </c>
      <c r="L8">
        <f t="shared" si="3"/>
        <v>0.22173913043478261</v>
      </c>
    </row>
    <row r="9" spans="1:12">
      <c r="A9" t="s">
        <v>1163</v>
      </c>
      <c r="B9">
        <v>56</v>
      </c>
      <c r="C9">
        <v>9</v>
      </c>
      <c r="D9">
        <f t="shared" si="0"/>
        <v>65</v>
      </c>
      <c r="E9">
        <v>231</v>
      </c>
      <c r="F9">
        <f t="shared" si="1"/>
        <v>0.2813852813852814</v>
      </c>
      <c r="H9">
        <v>35</v>
      </c>
      <c r="I9">
        <v>9</v>
      </c>
      <c r="J9">
        <f t="shared" si="2"/>
        <v>44</v>
      </c>
      <c r="K9">
        <v>231</v>
      </c>
      <c r="L9">
        <f t="shared" si="3"/>
        <v>0.19047619047619047</v>
      </c>
    </row>
    <row r="10" spans="1:12">
      <c r="A10" t="s">
        <v>1164</v>
      </c>
      <c r="B10">
        <v>53</v>
      </c>
      <c r="C10">
        <v>9</v>
      </c>
      <c r="D10">
        <f t="shared" si="0"/>
        <v>62</v>
      </c>
      <c r="E10">
        <v>188</v>
      </c>
      <c r="F10">
        <f t="shared" si="1"/>
        <v>0.32978723404255317</v>
      </c>
      <c r="H10">
        <v>25</v>
      </c>
      <c r="I10">
        <v>9</v>
      </c>
      <c r="J10">
        <f t="shared" si="2"/>
        <v>34</v>
      </c>
      <c r="K10">
        <v>188</v>
      </c>
      <c r="L10">
        <f t="shared" si="3"/>
        <v>0.18085106382978725</v>
      </c>
    </row>
    <row r="11" spans="1:12">
      <c r="A11" t="s">
        <v>1165</v>
      </c>
      <c r="B11">
        <v>41</v>
      </c>
      <c r="C11">
        <v>12</v>
      </c>
      <c r="D11">
        <f t="shared" si="0"/>
        <v>53</v>
      </c>
      <c r="E11">
        <v>188</v>
      </c>
      <c r="F11">
        <f t="shared" si="1"/>
        <v>0.28191489361702127</v>
      </c>
      <c r="H11">
        <v>21</v>
      </c>
      <c r="I11">
        <v>12</v>
      </c>
      <c r="J11">
        <f t="shared" si="2"/>
        <v>33</v>
      </c>
      <c r="K11">
        <v>188</v>
      </c>
      <c r="L11">
        <f t="shared" si="3"/>
        <v>0.17553191489361702</v>
      </c>
    </row>
    <row r="12" spans="1:12">
      <c r="A12" t="s">
        <v>1166</v>
      </c>
      <c r="B12">
        <v>45</v>
      </c>
      <c r="C12">
        <v>10</v>
      </c>
      <c r="D12">
        <f t="shared" si="0"/>
        <v>55</v>
      </c>
      <c r="E12">
        <v>189</v>
      </c>
      <c r="F12">
        <f t="shared" si="1"/>
        <v>0.29100529100529099</v>
      </c>
      <c r="H12">
        <v>25</v>
      </c>
      <c r="I12">
        <v>10</v>
      </c>
      <c r="J12">
        <f t="shared" si="2"/>
        <v>35</v>
      </c>
      <c r="K12">
        <v>189</v>
      </c>
      <c r="L12">
        <f t="shared" si="3"/>
        <v>0.18518518518518517</v>
      </c>
    </row>
    <row r="13" spans="1:12">
      <c r="A13" t="s">
        <v>1167</v>
      </c>
      <c r="B13">
        <v>58</v>
      </c>
      <c r="C13">
        <v>8</v>
      </c>
      <c r="D13">
        <f t="shared" si="0"/>
        <v>66</v>
      </c>
      <c r="E13">
        <v>188</v>
      </c>
      <c r="F13">
        <f t="shared" si="1"/>
        <v>0.35106382978723405</v>
      </c>
      <c r="H13">
        <v>32</v>
      </c>
      <c r="I13">
        <v>8</v>
      </c>
      <c r="J13">
        <f t="shared" si="2"/>
        <v>40</v>
      </c>
      <c r="K13">
        <v>188</v>
      </c>
      <c r="L13">
        <f t="shared" si="3"/>
        <v>0.21276595744680851</v>
      </c>
    </row>
    <row r="14" spans="1:12">
      <c r="A14" t="s">
        <v>1168</v>
      </c>
      <c r="B14">
        <v>74</v>
      </c>
      <c r="C14">
        <v>12</v>
      </c>
      <c r="D14">
        <f t="shared" si="0"/>
        <v>86</v>
      </c>
      <c r="E14">
        <v>253</v>
      </c>
      <c r="F14">
        <f t="shared" si="1"/>
        <v>0.33992094861660077</v>
      </c>
      <c r="H14">
        <v>50</v>
      </c>
      <c r="I14">
        <v>12</v>
      </c>
      <c r="J14">
        <f t="shared" si="2"/>
        <v>62</v>
      </c>
      <c r="K14">
        <v>253</v>
      </c>
      <c r="L14">
        <f t="shared" si="3"/>
        <v>0.24505928853754941</v>
      </c>
    </row>
    <row r="15" spans="1:12">
      <c r="A15" t="s">
        <v>1169</v>
      </c>
      <c r="B15">
        <v>70</v>
      </c>
      <c r="C15">
        <v>10</v>
      </c>
      <c r="D15">
        <f t="shared" si="0"/>
        <v>80</v>
      </c>
      <c r="E15">
        <v>253</v>
      </c>
      <c r="F15">
        <f t="shared" si="1"/>
        <v>0.31620553359683795</v>
      </c>
      <c r="H15">
        <v>46</v>
      </c>
      <c r="I15">
        <v>10</v>
      </c>
      <c r="J15">
        <f t="shared" si="2"/>
        <v>56</v>
      </c>
      <c r="K15">
        <v>253</v>
      </c>
      <c r="L15">
        <f t="shared" si="3"/>
        <v>0.22134387351778656</v>
      </c>
    </row>
    <row r="16" spans="1:12">
      <c r="A16" t="s">
        <v>1170</v>
      </c>
      <c r="B16">
        <v>66</v>
      </c>
      <c r="C16">
        <v>9</v>
      </c>
      <c r="D16">
        <f t="shared" si="0"/>
        <v>75</v>
      </c>
      <c r="E16">
        <v>251</v>
      </c>
      <c r="F16">
        <f t="shared" si="1"/>
        <v>0.29880478087649404</v>
      </c>
      <c r="H16">
        <v>38</v>
      </c>
      <c r="I16">
        <v>9</v>
      </c>
      <c r="J16">
        <f t="shared" si="2"/>
        <v>47</v>
      </c>
      <c r="K16">
        <v>251</v>
      </c>
      <c r="L16">
        <f t="shared" si="3"/>
        <v>0.18725099601593626</v>
      </c>
    </row>
    <row r="17" spans="1:12">
      <c r="A17" t="s">
        <v>1171</v>
      </c>
      <c r="B17">
        <v>59</v>
      </c>
      <c r="C17">
        <v>10</v>
      </c>
      <c r="D17">
        <f t="shared" si="0"/>
        <v>69</v>
      </c>
      <c r="E17">
        <v>250</v>
      </c>
      <c r="F17">
        <f t="shared" si="1"/>
        <v>0.27600000000000002</v>
      </c>
      <c r="H17">
        <v>30</v>
      </c>
      <c r="I17">
        <v>10</v>
      </c>
      <c r="J17">
        <f t="shared" si="2"/>
        <v>40</v>
      </c>
      <c r="K17">
        <v>250</v>
      </c>
      <c r="L17">
        <f t="shared" si="3"/>
        <v>0.16</v>
      </c>
    </row>
    <row r="18" spans="1:12">
      <c r="A18" t="s">
        <v>1172</v>
      </c>
      <c r="B18">
        <v>85</v>
      </c>
      <c r="C18">
        <v>10</v>
      </c>
      <c r="D18">
        <f t="shared" si="0"/>
        <v>95</v>
      </c>
      <c r="E18">
        <v>259</v>
      </c>
      <c r="F18">
        <f t="shared" si="1"/>
        <v>0.36679536679536678</v>
      </c>
      <c r="H18">
        <v>45</v>
      </c>
      <c r="I18">
        <v>10</v>
      </c>
      <c r="J18">
        <f t="shared" si="2"/>
        <v>55</v>
      </c>
      <c r="K18">
        <v>259</v>
      </c>
      <c r="L18">
        <f t="shared" si="3"/>
        <v>0.21235521235521235</v>
      </c>
    </row>
    <row r="19" spans="1:12">
      <c r="A19" t="s">
        <v>1173</v>
      </c>
      <c r="B19">
        <v>76</v>
      </c>
      <c r="C19">
        <v>13</v>
      </c>
      <c r="D19">
        <f t="shared" si="0"/>
        <v>89</v>
      </c>
      <c r="E19">
        <v>260</v>
      </c>
      <c r="F19">
        <f t="shared" si="1"/>
        <v>0.34230769230769231</v>
      </c>
      <c r="H19">
        <v>43</v>
      </c>
      <c r="I19">
        <v>13</v>
      </c>
      <c r="J19">
        <f t="shared" si="2"/>
        <v>56</v>
      </c>
      <c r="K19">
        <v>260</v>
      </c>
      <c r="L19">
        <f t="shared" si="3"/>
        <v>0.2153846153846154</v>
      </c>
    </row>
    <row r="20" spans="1:12">
      <c r="A20" t="s">
        <v>1174</v>
      </c>
      <c r="B20">
        <v>70</v>
      </c>
      <c r="C20">
        <v>7</v>
      </c>
      <c r="D20">
        <f t="shared" si="0"/>
        <v>77</v>
      </c>
      <c r="E20">
        <v>260</v>
      </c>
      <c r="F20">
        <f t="shared" si="1"/>
        <v>0.29615384615384616</v>
      </c>
      <c r="H20">
        <v>36</v>
      </c>
      <c r="I20">
        <v>7</v>
      </c>
      <c r="J20">
        <f t="shared" si="2"/>
        <v>43</v>
      </c>
      <c r="K20">
        <v>260</v>
      </c>
      <c r="L20">
        <f t="shared" si="3"/>
        <v>0.16538461538461538</v>
      </c>
    </row>
    <row r="21" spans="1:12">
      <c r="A21" t="s">
        <v>1175</v>
      </c>
      <c r="B21">
        <v>69</v>
      </c>
      <c r="C21">
        <v>17</v>
      </c>
      <c r="D21">
        <f t="shared" si="0"/>
        <v>86</v>
      </c>
      <c r="E21">
        <v>252</v>
      </c>
      <c r="F21">
        <f t="shared" si="1"/>
        <v>0.34126984126984128</v>
      </c>
      <c r="H21">
        <v>38</v>
      </c>
      <c r="I21">
        <v>17</v>
      </c>
      <c r="J21">
        <f t="shared" si="2"/>
        <v>55</v>
      </c>
      <c r="K21">
        <v>252</v>
      </c>
      <c r="L21">
        <f t="shared" si="3"/>
        <v>0.21825396825396826</v>
      </c>
    </row>
    <row r="22" spans="1:12">
      <c r="A22" t="s">
        <v>1176</v>
      </c>
      <c r="B22">
        <v>90</v>
      </c>
      <c r="C22">
        <v>20</v>
      </c>
      <c r="D22">
        <f t="shared" si="0"/>
        <v>110</v>
      </c>
      <c r="E22">
        <v>328</v>
      </c>
      <c r="F22">
        <f t="shared" si="1"/>
        <v>0.33536585365853661</v>
      </c>
      <c r="H22">
        <v>55</v>
      </c>
      <c r="I22">
        <v>20</v>
      </c>
      <c r="J22">
        <f t="shared" si="2"/>
        <v>75</v>
      </c>
      <c r="K22">
        <v>328</v>
      </c>
      <c r="L22">
        <f t="shared" si="3"/>
        <v>0.22865853658536586</v>
      </c>
    </row>
    <row r="23" spans="1:12">
      <c r="A23" t="s">
        <v>1177</v>
      </c>
      <c r="B23">
        <v>78</v>
      </c>
      <c r="C23">
        <v>13</v>
      </c>
      <c r="D23">
        <f t="shared" si="0"/>
        <v>91</v>
      </c>
      <c r="E23">
        <v>299</v>
      </c>
      <c r="F23">
        <f t="shared" si="1"/>
        <v>0.30434782608695654</v>
      </c>
      <c r="H23">
        <v>47</v>
      </c>
      <c r="I23">
        <v>13</v>
      </c>
      <c r="J23">
        <f t="shared" si="2"/>
        <v>60</v>
      </c>
      <c r="K23">
        <v>299</v>
      </c>
      <c r="L23">
        <f t="shared" si="3"/>
        <v>0.20066889632107024</v>
      </c>
    </row>
    <row r="24" spans="1:12">
      <c r="A24" t="s">
        <v>1178</v>
      </c>
      <c r="B24">
        <v>104</v>
      </c>
      <c r="C24">
        <v>16</v>
      </c>
      <c r="D24">
        <f t="shared" si="0"/>
        <v>120</v>
      </c>
      <c r="E24">
        <v>328</v>
      </c>
      <c r="F24">
        <f t="shared" si="1"/>
        <v>0.36585365853658536</v>
      </c>
      <c r="H24">
        <v>57</v>
      </c>
      <c r="I24">
        <v>16</v>
      </c>
      <c r="J24">
        <f t="shared" si="2"/>
        <v>73</v>
      </c>
      <c r="K24">
        <v>328</v>
      </c>
      <c r="L24">
        <f t="shared" si="3"/>
        <v>0.2225609756097561</v>
      </c>
    </row>
    <row r="25" spans="1:12">
      <c r="A25" t="s">
        <v>1179</v>
      </c>
      <c r="B25">
        <v>98</v>
      </c>
      <c r="C25">
        <v>18</v>
      </c>
      <c r="D25">
        <f t="shared" si="0"/>
        <v>116</v>
      </c>
      <c r="E25">
        <v>331</v>
      </c>
      <c r="F25">
        <f t="shared" si="1"/>
        <v>0.35045317220543809</v>
      </c>
      <c r="H25">
        <v>54</v>
      </c>
      <c r="I25">
        <v>18</v>
      </c>
      <c r="J25">
        <f t="shared" si="2"/>
        <v>72</v>
      </c>
      <c r="K25">
        <v>331</v>
      </c>
      <c r="L25">
        <f t="shared" si="3"/>
        <v>0.2175226586102719</v>
      </c>
    </row>
    <row r="26" spans="1:12">
      <c r="A26" t="s">
        <v>1180</v>
      </c>
      <c r="B26">
        <v>94</v>
      </c>
      <c r="C26">
        <v>12</v>
      </c>
      <c r="D26">
        <f t="shared" si="0"/>
        <v>106</v>
      </c>
      <c r="E26">
        <v>330</v>
      </c>
      <c r="F26">
        <f t="shared" si="1"/>
        <v>0.32121212121212123</v>
      </c>
      <c r="H26">
        <v>58</v>
      </c>
      <c r="I26">
        <v>12</v>
      </c>
      <c r="J26">
        <f t="shared" si="2"/>
        <v>70</v>
      </c>
      <c r="K26">
        <v>330</v>
      </c>
      <c r="L26">
        <f t="shared" si="3"/>
        <v>0.21212121212121213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5F19-B661-4F79-9A52-AC8BB724CED7}">
  <dimension ref="A1:C26"/>
  <sheetViews>
    <sheetView workbookViewId="0">
      <selection activeCell="K50" sqref="K50"/>
    </sheetView>
  </sheetViews>
  <sheetFormatPr defaultRowHeight="15"/>
  <sheetData>
    <row r="1" spans="1:3">
      <c r="A1" t="s">
        <v>187</v>
      </c>
      <c r="B1" t="s">
        <v>188</v>
      </c>
    </row>
    <row r="2" spans="1:3">
      <c r="A2" t="s">
        <v>189</v>
      </c>
      <c r="B2">
        <v>0.639240506329114</v>
      </c>
      <c r="C2">
        <f>1-B2</f>
        <v>0.360759493670886</v>
      </c>
    </row>
    <row r="3" spans="1:3">
      <c r="A3" t="s">
        <v>190</v>
      </c>
      <c r="B3">
        <v>0.56000000000000005</v>
      </c>
      <c r="C3">
        <f t="shared" ref="C3:C26" si="0">1-B3</f>
        <v>0.43999999999999995</v>
      </c>
    </row>
    <row r="4" spans="1:3">
      <c r="A4" t="s">
        <v>191</v>
      </c>
      <c r="B4">
        <v>0.63181818181818195</v>
      </c>
      <c r="C4">
        <f t="shared" si="0"/>
        <v>0.36818181818181805</v>
      </c>
    </row>
    <row r="5" spans="1:3">
      <c r="A5" t="s">
        <v>192</v>
      </c>
      <c r="B5">
        <v>0.62727272727272698</v>
      </c>
      <c r="C5">
        <f t="shared" si="0"/>
        <v>0.37272727272727302</v>
      </c>
    </row>
    <row r="6" spans="1:3">
      <c r="A6" t="s">
        <v>193</v>
      </c>
      <c r="B6">
        <v>0.65938864628821003</v>
      </c>
      <c r="C6">
        <f t="shared" si="0"/>
        <v>0.34061135371178997</v>
      </c>
    </row>
    <row r="7" spans="1:3">
      <c r="A7" t="s">
        <v>194</v>
      </c>
      <c r="B7">
        <v>0.64935064935064901</v>
      </c>
      <c r="C7">
        <f t="shared" si="0"/>
        <v>0.35064935064935099</v>
      </c>
    </row>
    <row r="8" spans="1:3">
      <c r="A8" t="s">
        <v>195</v>
      </c>
      <c r="B8">
        <v>0.639130434782609</v>
      </c>
      <c r="C8">
        <f t="shared" si="0"/>
        <v>0.360869565217391</v>
      </c>
    </row>
    <row r="9" spans="1:3">
      <c r="A9" t="s">
        <v>196</v>
      </c>
      <c r="B9">
        <v>0.65800865800865804</v>
      </c>
      <c r="C9">
        <f t="shared" si="0"/>
        <v>0.34199134199134196</v>
      </c>
    </row>
    <row r="10" spans="1:3">
      <c r="A10" t="s">
        <v>197</v>
      </c>
      <c r="B10">
        <v>0.62234042553191504</v>
      </c>
      <c r="C10">
        <f t="shared" si="0"/>
        <v>0.37765957446808496</v>
      </c>
    </row>
    <row r="11" spans="1:3">
      <c r="A11" t="s">
        <v>198</v>
      </c>
      <c r="B11">
        <v>0.62234042553191504</v>
      </c>
      <c r="C11">
        <f t="shared" si="0"/>
        <v>0.37765957446808496</v>
      </c>
    </row>
    <row r="12" spans="1:3">
      <c r="A12" t="s">
        <v>199</v>
      </c>
      <c r="B12">
        <v>0.64550264550264602</v>
      </c>
      <c r="C12">
        <f t="shared" si="0"/>
        <v>0.35449735449735398</v>
      </c>
    </row>
    <row r="13" spans="1:3">
      <c r="A13" t="s">
        <v>200</v>
      </c>
      <c r="B13">
        <v>0.62234042553191504</v>
      </c>
      <c r="C13">
        <f t="shared" si="0"/>
        <v>0.37765957446808496</v>
      </c>
    </row>
    <row r="14" spans="1:3">
      <c r="A14" t="s">
        <v>201</v>
      </c>
      <c r="B14">
        <v>0.59683794466403195</v>
      </c>
      <c r="C14">
        <f t="shared" si="0"/>
        <v>0.40316205533596805</v>
      </c>
    </row>
    <row r="15" spans="1:3">
      <c r="A15" t="s">
        <v>202</v>
      </c>
      <c r="B15">
        <v>0.63241106719367601</v>
      </c>
      <c r="C15">
        <f t="shared" si="0"/>
        <v>0.36758893280632399</v>
      </c>
    </row>
    <row r="16" spans="1:3">
      <c r="A16" t="s">
        <v>203</v>
      </c>
      <c r="B16">
        <v>0.62549800796812804</v>
      </c>
      <c r="C16">
        <f t="shared" si="0"/>
        <v>0.37450199203187196</v>
      </c>
    </row>
    <row r="17" spans="1:3">
      <c r="A17" t="s">
        <v>204</v>
      </c>
      <c r="B17">
        <v>0.64400000000000002</v>
      </c>
      <c r="C17">
        <f t="shared" si="0"/>
        <v>0.35599999999999998</v>
      </c>
    </row>
    <row r="18" spans="1:3">
      <c r="A18" t="s">
        <v>205</v>
      </c>
      <c r="B18">
        <v>0.62162162162162204</v>
      </c>
      <c r="C18">
        <f t="shared" si="0"/>
        <v>0.37837837837837796</v>
      </c>
    </row>
    <row r="19" spans="1:3">
      <c r="A19" t="s">
        <v>206</v>
      </c>
      <c r="B19">
        <v>0.63461538461538503</v>
      </c>
      <c r="C19">
        <f t="shared" si="0"/>
        <v>0.36538461538461497</v>
      </c>
    </row>
    <row r="20" spans="1:3">
      <c r="A20" t="s">
        <v>207</v>
      </c>
      <c r="B20">
        <v>0.62692307692307703</v>
      </c>
      <c r="C20">
        <f t="shared" si="0"/>
        <v>0.37307692307692297</v>
      </c>
    </row>
    <row r="21" spans="1:3">
      <c r="A21" t="s">
        <v>208</v>
      </c>
      <c r="B21">
        <v>0.61904761904761896</v>
      </c>
      <c r="C21">
        <f t="shared" si="0"/>
        <v>0.38095238095238104</v>
      </c>
    </row>
    <row r="22" spans="1:3">
      <c r="A22" t="s">
        <v>209</v>
      </c>
      <c r="B22">
        <v>0.56707317073170704</v>
      </c>
      <c r="C22">
        <f t="shared" si="0"/>
        <v>0.43292682926829296</v>
      </c>
    </row>
    <row r="23" spans="1:3">
      <c r="A23" t="s">
        <v>210</v>
      </c>
      <c r="B23">
        <v>0.64882943143812699</v>
      </c>
      <c r="C23">
        <f t="shared" si="0"/>
        <v>0.35117056856187301</v>
      </c>
    </row>
    <row r="24" spans="1:3">
      <c r="A24" t="s">
        <v>211</v>
      </c>
      <c r="B24">
        <v>0.625</v>
      </c>
      <c r="C24">
        <f t="shared" si="0"/>
        <v>0.375</v>
      </c>
    </row>
    <row r="25" spans="1:3">
      <c r="A25" t="s">
        <v>212</v>
      </c>
      <c r="B25">
        <v>0.64652567975830799</v>
      </c>
      <c r="C25">
        <f t="shared" si="0"/>
        <v>0.35347432024169201</v>
      </c>
    </row>
    <row r="26" spans="1:3">
      <c r="A26" t="s">
        <v>213</v>
      </c>
      <c r="B26">
        <v>0.61818181818181805</v>
      </c>
      <c r="C26">
        <f t="shared" si="0"/>
        <v>0.38181818181818195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154F-B942-40A9-B274-6157608D5799}">
  <dimension ref="A1:K357"/>
  <sheetViews>
    <sheetView workbookViewId="0">
      <selection activeCell="Q9" sqref="Q9"/>
    </sheetView>
  </sheetViews>
  <sheetFormatPr defaultRowHeight="15"/>
  <cols>
    <col min="1" max="1" width="17.85546875" customWidth="1"/>
  </cols>
  <sheetData>
    <row r="1" spans="1:11">
      <c r="A1" t="s">
        <v>32</v>
      </c>
      <c r="B1" t="s">
        <v>4</v>
      </c>
      <c r="E1" t="s">
        <v>32</v>
      </c>
      <c r="G1" t="s">
        <v>14</v>
      </c>
      <c r="I1" t="s">
        <v>32</v>
      </c>
      <c r="K1" t="s">
        <v>24</v>
      </c>
    </row>
    <row r="2" spans="1:11">
      <c r="A2" t="s">
        <v>214</v>
      </c>
      <c r="B2">
        <v>36.728571428571399</v>
      </c>
      <c r="E2" t="s">
        <v>215</v>
      </c>
      <c r="G2">
        <v>31.992592592592501</v>
      </c>
      <c r="I2" t="s">
        <v>216</v>
      </c>
      <c r="K2">
        <v>31.3435897435897</v>
      </c>
    </row>
    <row r="3" spans="1:11">
      <c r="A3" t="s">
        <v>217</v>
      </c>
      <c r="B3">
        <v>36.65</v>
      </c>
      <c r="E3" t="s">
        <v>218</v>
      </c>
      <c r="G3">
        <v>31.847999999999999</v>
      </c>
      <c r="I3" t="s">
        <v>219</v>
      </c>
      <c r="K3">
        <v>30.815000000000001</v>
      </c>
    </row>
    <row r="4" spans="1:11">
      <c r="A4" t="s">
        <v>220</v>
      </c>
      <c r="B4">
        <v>35.5</v>
      </c>
      <c r="E4" t="s">
        <v>221</v>
      </c>
      <c r="G4">
        <v>30.958823529411699</v>
      </c>
      <c r="I4" t="s">
        <v>222</v>
      </c>
      <c r="K4">
        <v>30.637499999999999</v>
      </c>
    </row>
    <row r="5" spans="1:11">
      <c r="A5" t="s">
        <v>223</v>
      </c>
      <c r="B5">
        <v>34.914285714285697</v>
      </c>
      <c r="E5" t="s">
        <v>224</v>
      </c>
      <c r="G5">
        <v>30.91</v>
      </c>
      <c r="I5" t="s">
        <v>225</v>
      </c>
      <c r="K5">
        <v>30.3894736842105</v>
      </c>
    </row>
    <row r="6" spans="1:11">
      <c r="A6" t="s">
        <v>226</v>
      </c>
      <c r="B6">
        <v>34.757142857142803</v>
      </c>
      <c r="E6" t="s">
        <v>227</v>
      </c>
      <c r="G6">
        <v>30.677272727272701</v>
      </c>
      <c r="I6" t="s">
        <v>228</v>
      </c>
      <c r="K6">
        <v>29.3390243902439</v>
      </c>
    </row>
    <row r="7" spans="1:11">
      <c r="A7" t="s">
        <v>229</v>
      </c>
      <c r="B7">
        <v>34.733333333333299</v>
      </c>
      <c r="E7" t="s">
        <v>230</v>
      </c>
      <c r="G7">
        <v>30.137499999999999</v>
      </c>
      <c r="I7" t="s">
        <v>231</v>
      </c>
      <c r="K7">
        <v>28.8314285714285</v>
      </c>
    </row>
    <row r="8" spans="1:11">
      <c r="A8" t="s">
        <v>232</v>
      </c>
      <c r="B8">
        <v>34.520000000000003</v>
      </c>
      <c r="E8" t="s">
        <v>233</v>
      </c>
      <c r="G8">
        <v>29.961904761904702</v>
      </c>
      <c r="I8" t="s">
        <v>234</v>
      </c>
      <c r="K8">
        <v>28.2</v>
      </c>
    </row>
    <row r="9" spans="1:11">
      <c r="A9" t="s">
        <v>235</v>
      </c>
      <c r="B9">
        <v>33.82</v>
      </c>
      <c r="E9" t="s">
        <v>236</v>
      </c>
      <c r="G9">
        <v>29.96</v>
      </c>
      <c r="I9" t="s">
        <v>237</v>
      </c>
      <c r="K9">
        <v>27.727272727272702</v>
      </c>
    </row>
    <row r="10" spans="1:11">
      <c r="A10" t="s">
        <v>238</v>
      </c>
      <c r="B10">
        <v>33.385714285714201</v>
      </c>
      <c r="E10" t="s">
        <v>239</v>
      </c>
      <c r="G10">
        <v>29.8241379310344</v>
      </c>
      <c r="I10" t="s">
        <v>240</v>
      </c>
      <c r="K10">
        <v>27.635294117647</v>
      </c>
    </row>
    <row r="11" spans="1:11">
      <c r="A11" t="s">
        <v>241</v>
      </c>
      <c r="B11">
        <v>33.299999999999997</v>
      </c>
      <c r="E11" t="s">
        <v>242</v>
      </c>
      <c r="G11">
        <v>29.61</v>
      </c>
      <c r="I11" t="s">
        <v>243</v>
      </c>
      <c r="K11">
        <v>27.584848484848401</v>
      </c>
    </row>
    <row r="12" spans="1:11">
      <c r="A12" t="s">
        <v>244</v>
      </c>
      <c r="B12">
        <v>33.107142857142797</v>
      </c>
      <c r="E12" t="s">
        <v>245</v>
      </c>
      <c r="G12">
        <v>29.4933333333333</v>
      </c>
      <c r="I12" t="s">
        <v>246</v>
      </c>
      <c r="K12">
        <v>27.553571428571399</v>
      </c>
    </row>
    <row r="13" spans="1:11">
      <c r="A13" t="s">
        <v>247</v>
      </c>
      <c r="B13">
        <v>33</v>
      </c>
      <c r="E13" t="s">
        <v>248</v>
      </c>
      <c r="G13">
        <v>29.19</v>
      </c>
      <c r="I13" t="s">
        <v>249</v>
      </c>
      <c r="K13">
        <v>27.483333333333299</v>
      </c>
    </row>
    <row r="14" spans="1:11">
      <c r="A14" t="s">
        <v>250</v>
      </c>
      <c r="B14">
        <v>32.930769230769201</v>
      </c>
      <c r="E14" t="s">
        <v>251</v>
      </c>
      <c r="G14">
        <v>29.125</v>
      </c>
      <c r="I14" t="s">
        <v>252</v>
      </c>
      <c r="K14">
        <v>27.464285714285701</v>
      </c>
    </row>
    <row r="15" spans="1:11">
      <c r="A15" t="s">
        <v>253</v>
      </c>
      <c r="B15">
        <v>32.51</v>
      </c>
      <c r="E15" t="s">
        <v>254</v>
      </c>
      <c r="G15">
        <v>29.1</v>
      </c>
      <c r="I15" t="s">
        <v>255</v>
      </c>
      <c r="K15">
        <v>27.4291666666666</v>
      </c>
    </row>
    <row r="16" spans="1:11">
      <c r="A16" t="s">
        <v>256</v>
      </c>
      <c r="B16">
        <v>32.429166666666603</v>
      </c>
      <c r="E16" t="s">
        <v>257</v>
      </c>
      <c r="G16">
        <v>29.068181818181799</v>
      </c>
      <c r="I16" t="s">
        <v>258</v>
      </c>
      <c r="K16">
        <v>27.329729729729699</v>
      </c>
    </row>
    <row r="17" spans="1:11">
      <c r="A17" t="s">
        <v>259</v>
      </c>
      <c r="B17">
        <v>32.042857142857102</v>
      </c>
      <c r="E17" t="s">
        <v>260</v>
      </c>
      <c r="G17">
        <v>29</v>
      </c>
      <c r="I17" t="s">
        <v>261</v>
      </c>
      <c r="K17">
        <v>27.322500000000002</v>
      </c>
    </row>
    <row r="18" spans="1:11">
      <c r="A18" t="s">
        <v>262</v>
      </c>
      <c r="B18">
        <v>31.7083333333333</v>
      </c>
      <c r="E18" t="s">
        <v>263</v>
      </c>
      <c r="G18">
        <v>28.7291666666666</v>
      </c>
      <c r="I18" t="s">
        <v>264</v>
      </c>
      <c r="K18">
        <v>27.2128205128205</v>
      </c>
    </row>
    <row r="19" spans="1:11">
      <c r="A19" t="s">
        <v>265</v>
      </c>
      <c r="B19">
        <v>31.7</v>
      </c>
      <c r="E19" t="s">
        <v>266</v>
      </c>
      <c r="G19">
        <v>28.704000000000001</v>
      </c>
      <c r="I19" t="s">
        <v>267</v>
      </c>
      <c r="K19">
        <v>27.191428571428499</v>
      </c>
    </row>
    <row r="20" spans="1:11">
      <c r="A20" t="s">
        <v>268</v>
      </c>
      <c r="B20">
        <v>31.6882352941176</v>
      </c>
      <c r="E20" t="s">
        <v>269</v>
      </c>
      <c r="G20">
        <v>28.412500000000001</v>
      </c>
      <c r="I20" t="s">
        <v>270</v>
      </c>
      <c r="K20">
        <v>27.067567567567501</v>
      </c>
    </row>
    <row r="21" spans="1:11">
      <c r="A21" t="s">
        <v>271</v>
      </c>
      <c r="B21">
        <v>31.542857142857098</v>
      </c>
      <c r="E21" t="s">
        <v>272</v>
      </c>
      <c r="G21">
        <v>28.327586206896498</v>
      </c>
      <c r="I21" t="s">
        <v>273</v>
      </c>
      <c r="K21">
        <v>27.057894736842101</v>
      </c>
    </row>
    <row r="22" spans="1:11">
      <c r="A22" t="s">
        <v>274</v>
      </c>
      <c r="B22">
        <v>31.515999999999998</v>
      </c>
      <c r="E22" t="s">
        <v>275</v>
      </c>
      <c r="G22">
        <v>28.285</v>
      </c>
      <c r="I22" t="s">
        <v>276</v>
      </c>
      <c r="K22">
        <v>27.031578947368399</v>
      </c>
    </row>
    <row r="23" spans="1:11">
      <c r="A23" t="s">
        <v>277</v>
      </c>
      <c r="B23">
        <v>31.486363636363599</v>
      </c>
      <c r="E23" t="s">
        <v>278</v>
      </c>
      <c r="G23">
        <v>28.191666666666599</v>
      </c>
      <c r="I23" t="s">
        <v>279</v>
      </c>
      <c r="K23">
        <v>26.961764705882299</v>
      </c>
    </row>
    <row r="24" spans="1:11">
      <c r="A24" t="s">
        <v>280</v>
      </c>
      <c r="B24">
        <v>31.38</v>
      </c>
      <c r="E24" t="s">
        <v>281</v>
      </c>
      <c r="G24">
        <v>28.115384615384599</v>
      </c>
      <c r="I24" t="s">
        <v>282</v>
      </c>
      <c r="K24">
        <v>26.920588235294101</v>
      </c>
    </row>
    <row r="25" spans="1:11">
      <c r="A25" t="s">
        <v>283</v>
      </c>
      <c r="B25">
        <v>31.322727272727199</v>
      </c>
      <c r="E25" t="s">
        <v>284</v>
      </c>
      <c r="G25">
        <v>27.9</v>
      </c>
      <c r="I25" t="s">
        <v>285</v>
      </c>
      <c r="K25">
        <v>26.856097560975599</v>
      </c>
    </row>
    <row r="26" spans="1:11">
      <c r="A26" t="s">
        <v>286</v>
      </c>
      <c r="B26">
        <v>31.044444444444402</v>
      </c>
      <c r="E26" t="s">
        <v>287</v>
      </c>
      <c r="G26">
        <v>27.83</v>
      </c>
      <c r="I26" t="s">
        <v>288</v>
      </c>
      <c r="K26">
        <v>26.565714285714201</v>
      </c>
    </row>
    <row r="27" spans="1:11">
      <c r="A27" t="s">
        <v>289</v>
      </c>
      <c r="B27">
        <v>31.014285714285698</v>
      </c>
      <c r="E27" t="s">
        <v>290</v>
      </c>
      <c r="G27">
        <v>27.751724137930999</v>
      </c>
      <c r="I27" t="s">
        <v>291</v>
      </c>
      <c r="K27">
        <v>26.35</v>
      </c>
    </row>
    <row r="28" spans="1:11">
      <c r="A28" t="s">
        <v>292</v>
      </c>
      <c r="B28">
        <v>30.995833333333302</v>
      </c>
      <c r="E28" t="s">
        <v>293</v>
      </c>
      <c r="G28">
        <v>27.637499999999999</v>
      </c>
      <c r="I28" t="s">
        <v>294</v>
      </c>
      <c r="K28">
        <v>26.3473684210526</v>
      </c>
    </row>
    <row r="29" spans="1:11">
      <c r="A29" t="s">
        <v>295</v>
      </c>
      <c r="B29">
        <v>30.774999999999999</v>
      </c>
      <c r="E29" t="s">
        <v>296</v>
      </c>
      <c r="G29">
        <v>27.560869565217299</v>
      </c>
      <c r="I29" t="s">
        <v>297</v>
      </c>
      <c r="K29">
        <v>26.325641025641001</v>
      </c>
    </row>
    <row r="30" spans="1:11">
      <c r="A30" t="s">
        <v>298</v>
      </c>
      <c r="B30">
        <v>30.7454545454545</v>
      </c>
      <c r="E30" t="s">
        <v>299</v>
      </c>
      <c r="G30">
        <v>27.4933333333333</v>
      </c>
      <c r="I30" t="s">
        <v>300</v>
      </c>
      <c r="K30">
        <v>26.253571428571401</v>
      </c>
    </row>
    <row r="31" spans="1:11">
      <c r="A31" t="s">
        <v>301</v>
      </c>
      <c r="B31">
        <v>30.606249999999999</v>
      </c>
      <c r="E31" t="s">
        <v>302</v>
      </c>
      <c r="G31">
        <v>27.465</v>
      </c>
      <c r="I31" t="s">
        <v>303</v>
      </c>
      <c r="K31">
        <v>26.1928571428571</v>
      </c>
    </row>
    <row r="32" spans="1:11">
      <c r="A32" t="s">
        <v>304</v>
      </c>
      <c r="B32">
        <v>30.56</v>
      </c>
      <c r="E32" t="s">
        <v>305</v>
      </c>
      <c r="G32">
        <v>27.42</v>
      </c>
      <c r="I32" t="s">
        <v>306</v>
      </c>
      <c r="K32">
        <v>25.847999999999999</v>
      </c>
    </row>
    <row r="33" spans="1:11">
      <c r="A33" t="s">
        <v>307</v>
      </c>
      <c r="B33">
        <v>30.545000000000002</v>
      </c>
      <c r="E33" t="s">
        <v>308</v>
      </c>
      <c r="G33">
        <v>27.351851851851801</v>
      </c>
      <c r="I33" t="s">
        <v>309</v>
      </c>
      <c r="K33">
        <v>25.7864864864864</v>
      </c>
    </row>
    <row r="34" spans="1:11">
      <c r="A34" t="s">
        <v>310</v>
      </c>
      <c r="B34">
        <v>30.434999999999999</v>
      </c>
      <c r="E34" t="s">
        <v>311</v>
      </c>
      <c r="G34">
        <v>27.2916666666666</v>
      </c>
      <c r="I34" t="s">
        <v>312</v>
      </c>
      <c r="K34">
        <v>25.7588235294117</v>
      </c>
    </row>
    <row r="35" spans="1:11">
      <c r="A35" t="s">
        <v>313</v>
      </c>
      <c r="B35">
        <v>30.410526315789401</v>
      </c>
      <c r="E35" t="s">
        <v>314</v>
      </c>
      <c r="G35">
        <v>27.244444444444401</v>
      </c>
      <c r="I35" t="s">
        <v>315</v>
      </c>
      <c r="K35">
        <v>25.741025641025601</v>
      </c>
    </row>
    <row r="36" spans="1:11">
      <c r="A36" t="s">
        <v>316</v>
      </c>
      <c r="B36">
        <v>30.36</v>
      </c>
      <c r="E36" t="s">
        <v>317</v>
      </c>
      <c r="G36">
        <v>27.24</v>
      </c>
      <c r="I36" t="s">
        <v>318</v>
      </c>
      <c r="K36">
        <v>25.6875</v>
      </c>
    </row>
    <row r="37" spans="1:11">
      <c r="A37" t="s">
        <v>319</v>
      </c>
      <c r="B37">
        <v>30.334782608695601</v>
      </c>
      <c r="E37" t="s">
        <v>320</v>
      </c>
      <c r="G37">
        <v>27.03</v>
      </c>
      <c r="I37" t="s">
        <v>321</v>
      </c>
      <c r="K37">
        <v>25.510526315789399</v>
      </c>
    </row>
    <row r="38" spans="1:11">
      <c r="A38" t="s">
        <v>322</v>
      </c>
      <c r="B38">
        <v>30.126315789473601</v>
      </c>
      <c r="E38" t="s">
        <v>323</v>
      </c>
      <c r="G38">
        <v>26.93</v>
      </c>
      <c r="I38" t="s">
        <v>324</v>
      </c>
      <c r="K38">
        <v>25.488235294117601</v>
      </c>
    </row>
    <row r="39" spans="1:11">
      <c r="A39" t="s">
        <v>325</v>
      </c>
      <c r="B39">
        <v>29.9</v>
      </c>
      <c r="E39" t="s">
        <v>326</v>
      </c>
      <c r="G39">
        <v>26.926923076923</v>
      </c>
      <c r="I39" t="s">
        <v>327</v>
      </c>
      <c r="K39">
        <v>25.4578947368421</v>
      </c>
    </row>
    <row r="40" spans="1:11">
      <c r="A40" t="s">
        <v>328</v>
      </c>
      <c r="B40">
        <v>29.7454545454545</v>
      </c>
      <c r="E40" t="s">
        <v>329</v>
      </c>
      <c r="G40">
        <v>26.4583333333333</v>
      </c>
      <c r="I40" t="s">
        <v>330</v>
      </c>
      <c r="K40">
        <v>25.371428571428499</v>
      </c>
    </row>
    <row r="41" spans="1:11">
      <c r="A41" t="s">
        <v>331</v>
      </c>
      <c r="B41">
        <v>29.355</v>
      </c>
      <c r="E41" t="s">
        <v>332</v>
      </c>
      <c r="G41">
        <v>26.285185185185099</v>
      </c>
      <c r="I41" t="s">
        <v>333</v>
      </c>
      <c r="K41">
        <v>25.154285714285699</v>
      </c>
    </row>
    <row r="42" spans="1:11">
      <c r="A42" t="s">
        <v>334</v>
      </c>
      <c r="B42">
        <v>29.34</v>
      </c>
      <c r="E42" t="s">
        <v>335</v>
      </c>
      <c r="G42">
        <v>26.139130434782601</v>
      </c>
      <c r="I42" t="s">
        <v>336</v>
      </c>
      <c r="K42">
        <v>24.976666666666599</v>
      </c>
    </row>
    <row r="43" spans="1:11">
      <c r="A43" t="s">
        <v>337</v>
      </c>
      <c r="B43">
        <v>29.1</v>
      </c>
      <c r="E43" t="s">
        <v>338</v>
      </c>
      <c r="G43">
        <v>26.13</v>
      </c>
      <c r="I43" t="s">
        <v>339</v>
      </c>
      <c r="K43">
        <v>24.942307692307601</v>
      </c>
    </row>
    <row r="44" spans="1:11">
      <c r="A44" t="s">
        <v>340</v>
      </c>
      <c r="B44">
        <v>29.04</v>
      </c>
      <c r="E44" t="s">
        <v>267</v>
      </c>
      <c r="G44">
        <v>26.012499999999999</v>
      </c>
      <c r="I44" t="s">
        <v>341</v>
      </c>
      <c r="K44">
        <v>24.907692307692301</v>
      </c>
    </row>
    <row r="45" spans="1:11">
      <c r="A45" t="s">
        <v>342</v>
      </c>
      <c r="B45">
        <v>28.675000000000001</v>
      </c>
      <c r="E45" t="s">
        <v>343</v>
      </c>
      <c r="G45">
        <v>25.87</v>
      </c>
      <c r="I45" t="s">
        <v>344</v>
      </c>
      <c r="K45">
        <v>24.776470588235199</v>
      </c>
    </row>
    <row r="46" spans="1:11">
      <c r="A46" t="s">
        <v>345</v>
      </c>
      <c r="B46">
        <v>28.595454545454501</v>
      </c>
      <c r="E46" t="s">
        <v>346</v>
      </c>
      <c r="G46">
        <v>25.85</v>
      </c>
      <c r="I46" t="s">
        <v>347</v>
      </c>
      <c r="K46">
        <v>24.4607142857142</v>
      </c>
    </row>
    <row r="47" spans="1:11">
      <c r="A47" t="s">
        <v>348</v>
      </c>
      <c r="B47">
        <v>28.484210526315699</v>
      </c>
      <c r="E47" t="s">
        <v>349</v>
      </c>
      <c r="G47">
        <v>25.82</v>
      </c>
      <c r="I47" t="s">
        <v>350</v>
      </c>
      <c r="K47">
        <v>24.408000000000001</v>
      </c>
    </row>
    <row r="48" spans="1:11">
      <c r="A48" t="s">
        <v>351</v>
      </c>
      <c r="B48">
        <v>28.441666666666599</v>
      </c>
      <c r="E48" t="s">
        <v>352</v>
      </c>
      <c r="G48">
        <v>25.754999999999999</v>
      </c>
      <c r="I48" t="s">
        <v>353</v>
      </c>
      <c r="K48">
        <v>24.2777777777777</v>
      </c>
    </row>
    <row r="49" spans="1:11">
      <c r="A49" t="s">
        <v>354</v>
      </c>
      <c r="B49">
        <v>28.242857142857101</v>
      </c>
      <c r="E49" t="s">
        <v>355</v>
      </c>
      <c r="G49">
        <v>25.75</v>
      </c>
      <c r="I49" t="s">
        <v>356</v>
      </c>
      <c r="K49">
        <v>24.211111111111101</v>
      </c>
    </row>
    <row r="50" spans="1:11">
      <c r="A50" t="s">
        <v>357</v>
      </c>
      <c r="B50">
        <v>28.128571428571401</v>
      </c>
      <c r="E50" t="s">
        <v>318</v>
      </c>
      <c r="G50">
        <v>25.725000000000001</v>
      </c>
      <c r="I50" t="s">
        <v>358</v>
      </c>
      <c r="K50">
        <v>24.192307692307601</v>
      </c>
    </row>
    <row r="51" spans="1:11">
      <c r="A51" t="s">
        <v>359</v>
      </c>
      <c r="B51">
        <v>28.061111111111099</v>
      </c>
      <c r="E51" t="s">
        <v>360</v>
      </c>
      <c r="G51">
        <v>25.6933333333333</v>
      </c>
      <c r="I51" t="s">
        <v>361</v>
      </c>
      <c r="K51">
        <v>24.0904761904761</v>
      </c>
    </row>
    <row r="52" spans="1:11">
      <c r="A52" t="s">
        <v>362</v>
      </c>
      <c r="B52">
        <v>28.035714285714199</v>
      </c>
      <c r="E52" t="s">
        <v>363</v>
      </c>
      <c r="G52">
        <v>25.65</v>
      </c>
      <c r="I52" t="s">
        <v>364</v>
      </c>
      <c r="K52">
        <v>24.07</v>
      </c>
    </row>
    <row r="53" spans="1:11">
      <c r="A53" t="s">
        <v>365</v>
      </c>
      <c r="B53">
        <v>27.984615384615299</v>
      </c>
      <c r="E53" t="s">
        <v>366</v>
      </c>
      <c r="G53">
        <v>25.6041666666666</v>
      </c>
      <c r="I53" t="s">
        <v>367</v>
      </c>
      <c r="K53">
        <v>24.02</v>
      </c>
    </row>
    <row r="54" spans="1:11">
      <c r="A54" t="s">
        <v>368</v>
      </c>
      <c r="B54">
        <v>27.933333333333302</v>
      </c>
      <c r="E54" t="s">
        <v>369</v>
      </c>
      <c r="G54">
        <v>25.595652173912999</v>
      </c>
      <c r="I54" t="s">
        <v>370</v>
      </c>
      <c r="K54">
        <v>23.8611111111111</v>
      </c>
    </row>
    <row r="55" spans="1:11">
      <c r="A55" t="s">
        <v>371</v>
      </c>
      <c r="B55">
        <v>27.868421052631501</v>
      </c>
      <c r="E55" t="s">
        <v>372</v>
      </c>
      <c r="G55">
        <v>25.507142857142799</v>
      </c>
      <c r="I55" t="s">
        <v>373</v>
      </c>
      <c r="K55">
        <v>23.705128205128201</v>
      </c>
    </row>
    <row r="56" spans="1:11">
      <c r="A56" t="s">
        <v>374</v>
      </c>
      <c r="B56">
        <v>27.6736842105263</v>
      </c>
      <c r="E56" t="s">
        <v>375</v>
      </c>
      <c r="G56">
        <v>25.5</v>
      </c>
      <c r="I56" t="s">
        <v>376</v>
      </c>
      <c r="K56">
        <v>23.641666666666602</v>
      </c>
    </row>
    <row r="57" spans="1:11">
      <c r="A57" t="s">
        <v>377</v>
      </c>
      <c r="B57">
        <v>27.622222222222199</v>
      </c>
      <c r="E57" t="s">
        <v>378</v>
      </c>
      <c r="G57">
        <v>25.423809523809499</v>
      </c>
      <c r="I57" t="s">
        <v>379</v>
      </c>
      <c r="K57">
        <v>23.623333333333299</v>
      </c>
    </row>
    <row r="58" spans="1:11">
      <c r="A58" t="s">
        <v>308</v>
      </c>
      <c r="B58">
        <v>27.367999999999999</v>
      </c>
      <c r="E58" t="s">
        <v>380</v>
      </c>
      <c r="G58">
        <v>25.38</v>
      </c>
      <c r="I58" t="s">
        <v>381</v>
      </c>
      <c r="K58">
        <v>23.46875</v>
      </c>
    </row>
    <row r="59" spans="1:11">
      <c r="A59" t="s">
        <v>382</v>
      </c>
      <c r="B59">
        <v>27.342857142857099</v>
      </c>
      <c r="E59" t="s">
        <v>383</v>
      </c>
      <c r="G59">
        <v>25.3</v>
      </c>
      <c r="I59" t="s">
        <v>384</v>
      </c>
      <c r="K59">
        <v>23.375</v>
      </c>
    </row>
    <row r="60" spans="1:11">
      <c r="A60" t="s">
        <v>385</v>
      </c>
      <c r="B60">
        <v>27.322727272727199</v>
      </c>
      <c r="E60" t="s">
        <v>386</v>
      </c>
      <c r="G60">
        <v>25.3</v>
      </c>
      <c r="I60" t="s">
        <v>387</v>
      </c>
      <c r="K60">
        <v>23.360606060605999</v>
      </c>
    </row>
    <row r="61" spans="1:11">
      <c r="A61" t="s">
        <v>388</v>
      </c>
      <c r="B61">
        <v>27.305</v>
      </c>
      <c r="E61" t="s">
        <v>389</v>
      </c>
      <c r="G61">
        <v>25.27</v>
      </c>
      <c r="I61" t="s">
        <v>390</v>
      </c>
      <c r="K61">
        <v>23.267499999999998</v>
      </c>
    </row>
    <row r="62" spans="1:11">
      <c r="A62" t="s">
        <v>391</v>
      </c>
      <c r="B62">
        <v>27.005263157894699</v>
      </c>
      <c r="E62" t="s">
        <v>392</v>
      </c>
      <c r="G62">
        <v>25.21</v>
      </c>
      <c r="I62" t="s">
        <v>393</v>
      </c>
      <c r="K62">
        <v>22.908571428571399</v>
      </c>
    </row>
    <row r="63" spans="1:11">
      <c r="A63" t="s">
        <v>394</v>
      </c>
      <c r="B63">
        <v>26.9954545454545</v>
      </c>
      <c r="E63" t="s">
        <v>395</v>
      </c>
      <c r="G63">
        <v>25.173913043478201</v>
      </c>
      <c r="I63" t="s">
        <v>396</v>
      </c>
      <c r="K63">
        <v>22.9</v>
      </c>
    </row>
    <row r="64" spans="1:11">
      <c r="A64" t="s">
        <v>397</v>
      </c>
      <c r="B64">
        <v>26.994444444444401</v>
      </c>
      <c r="E64" t="s">
        <v>398</v>
      </c>
      <c r="G64">
        <v>25.061538461538401</v>
      </c>
      <c r="I64" t="s">
        <v>399</v>
      </c>
      <c r="K64">
        <v>22.813333333333301</v>
      </c>
    </row>
    <row r="65" spans="1:11">
      <c r="A65" t="s">
        <v>400</v>
      </c>
      <c r="B65">
        <v>26.9761904761904</v>
      </c>
      <c r="E65" t="s">
        <v>401</v>
      </c>
      <c r="G65">
        <v>24.98</v>
      </c>
      <c r="I65" t="s">
        <v>402</v>
      </c>
      <c r="K65">
        <v>22.634374999999999</v>
      </c>
    </row>
    <row r="66" spans="1:11">
      <c r="A66" t="s">
        <v>403</v>
      </c>
      <c r="B66">
        <v>26.975000000000001</v>
      </c>
      <c r="E66" t="s">
        <v>404</v>
      </c>
      <c r="G66">
        <v>24.79</v>
      </c>
      <c r="I66" t="s">
        <v>405</v>
      </c>
      <c r="K66">
        <v>22.486486486486399</v>
      </c>
    </row>
    <row r="67" spans="1:11">
      <c r="A67" t="s">
        <v>406</v>
      </c>
      <c r="B67">
        <v>26.8666666666666</v>
      </c>
      <c r="E67" t="s">
        <v>407</v>
      </c>
      <c r="G67">
        <v>24.716666666666601</v>
      </c>
      <c r="I67" t="s">
        <v>408</v>
      </c>
      <c r="K67">
        <v>22.4</v>
      </c>
    </row>
    <row r="68" spans="1:11">
      <c r="A68" t="s">
        <v>409</v>
      </c>
      <c r="B68">
        <v>26.763636363636301</v>
      </c>
      <c r="E68" t="s">
        <v>410</v>
      </c>
      <c r="G68">
        <v>24.609090909090899</v>
      </c>
      <c r="I68" t="s">
        <v>411</v>
      </c>
      <c r="K68">
        <v>22.367647058823501</v>
      </c>
    </row>
    <row r="69" spans="1:11">
      <c r="A69" t="s">
        <v>412</v>
      </c>
      <c r="B69">
        <v>26.58</v>
      </c>
      <c r="E69" t="s">
        <v>413</v>
      </c>
      <c r="G69">
        <v>24.488235294117601</v>
      </c>
      <c r="I69" t="s">
        <v>414</v>
      </c>
      <c r="K69">
        <v>22.34375</v>
      </c>
    </row>
    <row r="70" spans="1:11">
      <c r="A70" t="s">
        <v>415</v>
      </c>
      <c r="B70">
        <v>26.518750000000001</v>
      </c>
      <c r="E70" t="s">
        <v>416</v>
      </c>
      <c r="G70">
        <v>24.4142857142857</v>
      </c>
      <c r="I70" t="s">
        <v>417</v>
      </c>
      <c r="K70">
        <v>22.2842105263157</v>
      </c>
    </row>
    <row r="71" spans="1:11">
      <c r="A71" t="s">
        <v>418</v>
      </c>
      <c r="B71">
        <v>26.46</v>
      </c>
      <c r="E71" t="s">
        <v>295</v>
      </c>
      <c r="G71">
        <v>24.393103448275799</v>
      </c>
      <c r="I71" t="s">
        <v>419</v>
      </c>
      <c r="K71">
        <v>22.044444444444402</v>
      </c>
    </row>
    <row r="72" spans="1:11">
      <c r="A72" t="s">
        <v>420</v>
      </c>
      <c r="B72">
        <v>26.375</v>
      </c>
      <c r="E72" t="s">
        <v>421</v>
      </c>
      <c r="G72">
        <v>24.39</v>
      </c>
      <c r="I72" t="s">
        <v>422</v>
      </c>
      <c r="K72">
        <v>22.0296296296296</v>
      </c>
    </row>
    <row r="73" spans="1:11">
      <c r="A73" t="s">
        <v>423</v>
      </c>
      <c r="B73">
        <v>26.3666666666666</v>
      </c>
      <c r="E73" t="s">
        <v>424</v>
      </c>
      <c r="G73">
        <v>24.381481481481401</v>
      </c>
      <c r="I73" t="s">
        <v>425</v>
      </c>
      <c r="K73">
        <v>22.024999999999999</v>
      </c>
    </row>
    <row r="74" spans="1:11">
      <c r="A74" t="s">
        <v>426</v>
      </c>
      <c r="B74">
        <v>26.235714285714199</v>
      </c>
      <c r="E74" t="s">
        <v>427</v>
      </c>
      <c r="G74">
        <v>24.236000000000001</v>
      </c>
      <c r="I74" t="s">
        <v>428</v>
      </c>
      <c r="K74">
        <v>22.0230769230769</v>
      </c>
    </row>
    <row r="75" spans="1:11">
      <c r="A75" t="s">
        <v>429</v>
      </c>
      <c r="B75">
        <v>26.218181818181801</v>
      </c>
      <c r="E75" t="s">
        <v>430</v>
      </c>
      <c r="G75">
        <v>24.2214285714285</v>
      </c>
      <c r="I75" t="s">
        <v>431</v>
      </c>
      <c r="K75">
        <v>22.0030303030303</v>
      </c>
    </row>
    <row r="76" spans="1:11">
      <c r="A76" t="s">
        <v>432</v>
      </c>
      <c r="B76">
        <v>26.1782608695652</v>
      </c>
      <c r="E76" t="s">
        <v>433</v>
      </c>
      <c r="G76">
        <v>24.2083333333333</v>
      </c>
      <c r="I76" t="s">
        <v>434</v>
      </c>
      <c r="K76">
        <v>21.975757575757498</v>
      </c>
    </row>
    <row r="77" spans="1:11">
      <c r="A77" t="s">
        <v>435</v>
      </c>
      <c r="B77">
        <v>26</v>
      </c>
      <c r="E77" t="s">
        <v>436</v>
      </c>
      <c r="G77">
        <v>24.192307692307601</v>
      </c>
      <c r="I77" t="s">
        <v>437</v>
      </c>
      <c r="K77">
        <v>21.96</v>
      </c>
    </row>
    <row r="78" spans="1:11">
      <c r="A78" t="s">
        <v>438</v>
      </c>
      <c r="B78">
        <v>25.858333333333299</v>
      </c>
      <c r="E78" t="s">
        <v>439</v>
      </c>
      <c r="G78">
        <v>24.11</v>
      </c>
      <c r="I78" t="s">
        <v>440</v>
      </c>
      <c r="K78">
        <v>21.788571428571402</v>
      </c>
    </row>
    <row r="79" spans="1:11">
      <c r="A79" t="s">
        <v>441</v>
      </c>
      <c r="B79">
        <v>25.741176470588201</v>
      </c>
      <c r="E79" t="s">
        <v>442</v>
      </c>
      <c r="G79">
        <v>23.9321428571428</v>
      </c>
      <c r="I79" t="s">
        <v>443</v>
      </c>
      <c r="K79">
        <v>21.779166666666601</v>
      </c>
    </row>
    <row r="80" spans="1:11">
      <c r="A80" t="s">
        <v>444</v>
      </c>
      <c r="B80">
        <v>25.725000000000001</v>
      </c>
      <c r="E80" t="s">
        <v>445</v>
      </c>
      <c r="G80">
        <v>23.878260869565199</v>
      </c>
      <c r="I80" t="s">
        <v>446</v>
      </c>
      <c r="K80">
        <v>21.7384615384615</v>
      </c>
    </row>
    <row r="81" spans="1:11">
      <c r="A81" t="s">
        <v>447</v>
      </c>
      <c r="B81">
        <v>25.7214285714285</v>
      </c>
      <c r="E81" t="s">
        <v>448</v>
      </c>
      <c r="G81">
        <v>23.870370370370299</v>
      </c>
      <c r="I81" t="s">
        <v>449</v>
      </c>
      <c r="K81">
        <v>21.5029411764705</v>
      </c>
    </row>
    <row r="82" spans="1:11">
      <c r="A82" t="s">
        <v>450</v>
      </c>
      <c r="B82">
        <v>25.7</v>
      </c>
      <c r="E82" t="s">
        <v>451</v>
      </c>
      <c r="G82">
        <v>23.86</v>
      </c>
      <c r="I82" t="s">
        <v>452</v>
      </c>
      <c r="K82">
        <v>21.411999999999999</v>
      </c>
    </row>
    <row r="83" spans="1:11">
      <c r="A83" t="s">
        <v>453</v>
      </c>
      <c r="B83">
        <v>25.64</v>
      </c>
      <c r="E83" t="s">
        <v>454</v>
      </c>
      <c r="G83">
        <v>23.533333333333299</v>
      </c>
      <c r="I83" t="s">
        <v>455</v>
      </c>
      <c r="K83">
        <v>21.353846153846099</v>
      </c>
    </row>
    <row r="84" spans="1:11">
      <c r="A84" t="s">
        <v>456</v>
      </c>
      <c r="B84">
        <v>25.6</v>
      </c>
      <c r="E84" t="s">
        <v>457</v>
      </c>
      <c r="G84">
        <v>23.462499999999999</v>
      </c>
      <c r="I84" t="s">
        <v>458</v>
      </c>
      <c r="K84">
        <v>21.202857142857098</v>
      </c>
    </row>
    <row r="85" spans="1:11">
      <c r="A85" t="s">
        <v>459</v>
      </c>
      <c r="B85">
        <v>25.530769230769199</v>
      </c>
      <c r="E85" t="s">
        <v>460</v>
      </c>
      <c r="G85">
        <v>23.46</v>
      </c>
      <c r="I85" t="s">
        <v>461</v>
      </c>
      <c r="K85">
        <v>21.183333333333302</v>
      </c>
    </row>
    <row r="86" spans="1:11">
      <c r="A86" t="s">
        <v>462</v>
      </c>
      <c r="B86">
        <v>25.485714285714199</v>
      </c>
      <c r="E86" t="s">
        <v>463</v>
      </c>
      <c r="G86">
        <v>23.43</v>
      </c>
      <c r="I86" t="s">
        <v>445</v>
      </c>
      <c r="K86">
        <v>21.018181818181802</v>
      </c>
    </row>
    <row r="87" spans="1:11">
      <c r="A87" t="s">
        <v>464</v>
      </c>
      <c r="B87">
        <v>25.210526315789402</v>
      </c>
      <c r="E87" t="s">
        <v>465</v>
      </c>
      <c r="G87">
        <v>23.4</v>
      </c>
      <c r="I87" t="s">
        <v>466</v>
      </c>
      <c r="K87">
        <v>21.017142857142801</v>
      </c>
    </row>
    <row r="88" spans="1:11">
      <c r="A88" t="s">
        <v>467</v>
      </c>
      <c r="B88">
        <v>24.984615384615299</v>
      </c>
      <c r="E88" t="s">
        <v>468</v>
      </c>
      <c r="G88">
        <v>23.2785714285714</v>
      </c>
      <c r="I88" t="s">
        <v>469</v>
      </c>
      <c r="K88">
        <v>20.85</v>
      </c>
    </row>
    <row r="89" spans="1:11">
      <c r="A89" t="s">
        <v>470</v>
      </c>
      <c r="B89">
        <v>24.853846153846099</v>
      </c>
      <c r="E89" t="s">
        <v>471</v>
      </c>
      <c r="G89">
        <v>23.225000000000001</v>
      </c>
      <c r="I89" t="s">
        <v>472</v>
      </c>
      <c r="K89">
        <v>20.740740740740701</v>
      </c>
    </row>
    <row r="90" spans="1:11">
      <c r="A90" t="s">
        <v>473</v>
      </c>
      <c r="B90">
        <v>24.8</v>
      </c>
      <c r="E90" t="s">
        <v>474</v>
      </c>
      <c r="G90">
        <v>23.1782608695652</v>
      </c>
      <c r="I90" t="s">
        <v>475</v>
      </c>
      <c r="K90">
        <v>20.609090909090899</v>
      </c>
    </row>
    <row r="91" spans="1:11">
      <c r="A91" t="s">
        <v>476</v>
      </c>
      <c r="B91">
        <v>24.8</v>
      </c>
      <c r="E91" t="s">
        <v>477</v>
      </c>
      <c r="G91">
        <v>23.11</v>
      </c>
      <c r="I91" t="s">
        <v>416</v>
      </c>
      <c r="K91">
        <v>20.6</v>
      </c>
    </row>
    <row r="92" spans="1:11">
      <c r="A92" t="s">
        <v>478</v>
      </c>
      <c r="B92">
        <v>24.582608695652102</v>
      </c>
      <c r="E92" t="s">
        <v>479</v>
      </c>
      <c r="G92">
        <v>23.0555555555555</v>
      </c>
      <c r="I92" t="s">
        <v>480</v>
      </c>
      <c r="K92">
        <v>20.515384615384601</v>
      </c>
    </row>
    <row r="93" spans="1:11">
      <c r="A93" t="s">
        <v>481</v>
      </c>
      <c r="B93">
        <v>24.540909090909</v>
      </c>
      <c r="E93" t="s">
        <v>482</v>
      </c>
      <c r="G93">
        <v>23.021428571428501</v>
      </c>
      <c r="I93" t="s">
        <v>483</v>
      </c>
      <c r="K93">
        <v>20.252631578947302</v>
      </c>
    </row>
    <row r="94" spans="1:11">
      <c r="A94" t="s">
        <v>484</v>
      </c>
      <c r="B94">
        <v>24.371428571428499</v>
      </c>
      <c r="E94" t="s">
        <v>485</v>
      </c>
      <c r="G94">
        <v>23.013636363636301</v>
      </c>
      <c r="I94" t="s">
        <v>486</v>
      </c>
      <c r="K94">
        <v>20.246341463414598</v>
      </c>
    </row>
    <row r="95" spans="1:11">
      <c r="A95" t="s">
        <v>487</v>
      </c>
      <c r="B95">
        <v>24.273684210526302</v>
      </c>
      <c r="E95" t="s">
        <v>488</v>
      </c>
      <c r="G95">
        <v>22.97</v>
      </c>
      <c r="I95" t="s">
        <v>489</v>
      </c>
      <c r="K95">
        <v>20.2384615384615</v>
      </c>
    </row>
    <row r="96" spans="1:11">
      <c r="A96" t="s">
        <v>490</v>
      </c>
      <c r="B96">
        <v>24.228571428571399</v>
      </c>
      <c r="E96" t="s">
        <v>491</v>
      </c>
      <c r="G96">
        <v>22.93</v>
      </c>
      <c r="I96" t="s">
        <v>492</v>
      </c>
      <c r="K96">
        <v>20.226315789473599</v>
      </c>
    </row>
    <row r="97" spans="1:11">
      <c r="A97" t="s">
        <v>493</v>
      </c>
      <c r="B97">
        <v>24.159090909090899</v>
      </c>
      <c r="E97" t="s">
        <v>494</v>
      </c>
      <c r="G97">
        <v>22.862500000000001</v>
      </c>
      <c r="I97" t="s">
        <v>495</v>
      </c>
      <c r="K97">
        <v>20.137499999999999</v>
      </c>
    </row>
    <row r="98" spans="1:11">
      <c r="A98" t="s">
        <v>496</v>
      </c>
      <c r="B98">
        <v>24.152173913043399</v>
      </c>
      <c r="E98" t="s">
        <v>497</v>
      </c>
      <c r="G98">
        <v>22.8333333333333</v>
      </c>
      <c r="I98" t="s">
        <v>498</v>
      </c>
      <c r="K98">
        <v>20.0416666666666</v>
      </c>
    </row>
    <row r="99" spans="1:11">
      <c r="A99" t="s">
        <v>499</v>
      </c>
      <c r="B99">
        <v>23.983333333333299</v>
      </c>
      <c r="E99" t="s">
        <v>500</v>
      </c>
      <c r="G99">
        <v>22.7869565217391</v>
      </c>
      <c r="I99" t="s">
        <v>501</v>
      </c>
      <c r="K99">
        <v>19.9710526315789</v>
      </c>
    </row>
    <row r="100" spans="1:11">
      <c r="A100" t="s">
        <v>502</v>
      </c>
      <c r="B100">
        <v>23.913333333333298</v>
      </c>
      <c r="E100" t="s">
        <v>503</v>
      </c>
      <c r="G100">
        <v>22.413793103448199</v>
      </c>
      <c r="I100" t="s">
        <v>504</v>
      </c>
      <c r="K100">
        <v>19.909523809523801</v>
      </c>
    </row>
    <row r="101" spans="1:11">
      <c r="A101" t="s">
        <v>505</v>
      </c>
      <c r="B101">
        <v>23.870833333333302</v>
      </c>
      <c r="E101" t="s">
        <v>506</v>
      </c>
      <c r="G101">
        <v>22.387499999999999</v>
      </c>
      <c r="I101" t="s">
        <v>507</v>
      </c>
      <c r="K101">
        <v>19.903124999999999</v>
      </c>
    </row>
    <row r="102" spans="1:11">
      <c r="A102" t="s">
        <v>508</v>
      </c>
      <c r="B102">
        <v>23.787500000000001</v>
      </c>
      <c r="E102" t="s">
        <v>509</v>
      </c>
      <c r="G102">
        <v>22.25</v>
      </c>
      <c r="I102" t="s">
        <v>510</v>
      </c>
      <c r="K102">
        <v>19.865517241379301</v>
      </c>
    </row>
    <row r="103" spans="1:11">
      <c r="A103" t="s">
        <v>511</v>
      </c>
      <c r="B103">
        <v>23.7785714285714</v>
      </c>
      <c r="E103" t="s">
        <v>512</v>
      </c>
      <c r="G103">
        <v>22.117647058823501</v>
      </c>
      <c r="I103" t="s">
        <v>513</v>
      </c>
      <c r="K103">
        <v>19.8205128205128</v>
      </c>
    </row>
    <row r="104" spans="1:11">
      <c r="A104" t="s">
        <v>514</v>
      </c>
      <c r="B104">
        <v>23.628571428571401</v>
      </c>
      <c r="E104" t="s">
        <v>515</v>
      </c>
      <c r="G104">
        <v>22.071428571428498</v>
      </c>
      <c r="I104" t="s">
        <v>516</v>
      </c>
      <c r="K104">
        <v>19.7384615384615</v>
      </c>
    </row>
    <row r="105" spans="1:11">
      <c r="A105" t="s">
        <v>517</v>
      </c>
      <c r="B105">
        <v>23.6166666666666</v>
      </c>
      <c r="E105" t="s">
        <v>412</v>
      </c>
      <c r="G105">
        <v>22.0647058823529</v>
      </c>
      <c r="I105" t="s">
        <v>518</v>
      </c>
      <c r="K105">
        <v>19.615625000000001</v>
      </c>
    </row>
    <row r="106" spans="1:11">
      <c r="A106" t="s">
        <v>519</v>
      </c>
      <c r="B106">
        <v>23.564285714285699</v>
      </c>
      <c r="E106" t="s">
        <v>520</v>
      </c>
      <c r="G106">
        <v>21.9793103448275</v>
      </c>
      <c r="I106" t="s">
        <v>521</v>
      </c>
      <c r="K106">
        <v>19.572972972972899</v>
      </c>
    </row>
    <row r="107" spans="1:11">
      <c r="A107" t="s">
        <v>522</v>
      </c>
      <c r="B107">
        <v>23.353846153846099</v>
      </c>
      <c r="E107" t="s">
        <v>523</v>
      </c>
      <c r="G107">
        <v>21.946153846153798</v>
      </c>
      <c r="I107" t="s">
        <v>524</v>
      </c>
      <c r="K107">
        <v>19.464285714285701</v>
      </c>
    </row>
    <row r="108" spans="1:11">
      <c r="A108" t="s">
        <v>525</v>
      </c>
      <c r="B108">
        <v>23.35</v>
      </c>
      <c r="E108" t="s">
        <v>526</v>
      </c>
      <c r="G108">
        <v>21.912500000000001</v>
      </c>
      <c r="I108" t="s">
        <v>527</v>
      </c>
      <c r="K108">
        <v>19.445454545454499</v>
      </c>
    </row>
    <row r="109" spans="1:11">
      <c r="A109" t="s">
        <v>528</v>
      </c>
      <c r="B109">
        <v>23.2</v>
      </c>
      <c r="E109" t="s">
        <v>529</v>
      </c>
      <c r="G109">
        <v>21.862500000000001</v>
      </c>
      <c r="I109" t="s">
        <v>530</v>
      </c>
      <c r="K109">
        <v>19.36</v>
      </c>
    </row>
    <row r="110" spans="1:11">
      <c r="A110" t="s">
        <v>531</v>
      </c>
      <c r="B110">
        <v>23.147368421052601</v>
      </c>
      <c r="E110" t="s">
        <v>532</v>
      </c>
      <c r="G110">
        <v>21.862500000000001</v>
      </c>
      <c r="I110" t="s">
        <v>533</v>
      </c>
      <c r="K110">
        <v>19.350000000000001</v>
      </c>
    </row>
    <row r="111" spans="1:11">
      <c r="A111" t="s">
        <v>534</v>
      </c>
      <c r="B111">
        <v>22.8705882352941</v>
      </c>
      <c r="E111" t="s">
        <v>461</v>
      </c>
      <c r="G111">
        <v>21.851724137931001</v>
      </c>
      <c r="I111" t="s">
        <v>535</v>
      </c>
      <c r="K111">
        <v>19.0565217391304</v>
      </c>
    </row>
    <row r="112" spans="1:11">
      <c r="A112" t="s">
        <v>536</v>
      </c>
      <c r="B112">
        <v>22.837499999999999</v>
      </c>
      <c r="E112" t="s">
        <v>537</v>
      </c>
      <c r="G112">
        <v>21.82</v>
      </c>
      <c r="I112" t="s">
        <v>538</v>
      </c>
      <c r="K112">
        <v>19.040909090909</v>
      </c>
    </row>
    <row r="113" spans="1:11">
      <c r="A113" t="s">
        <v>539</v>
      </c>
      <c r="B113">
        <v>22.561538461538401</v>
      </c>
      <c r="E113" t="s">
        <v>540</v>
      </c>
      <c r="G113">
        <v>21.783333333333299</v>
      </c>
      <c r="I113" t="s">
        <v>541</v>
      </c>
      <c r="K113">
        <v>18.962499999999999</v>
      </c>
    </row>
    <row r="114" spans="1:11">
      <c r="A114" t="s">
        <v>542</v>
      </c>
      <c r="B114">
        <v>22.5</v>
      </c>
      <c r="E114" t="s">
        <v>543</v>
      </c>
      <c r="G114">
        <v>21.7818181818181</v>
      </c>
      <c r="I114" t="s">
        <v>544</v>
      </c>
      <c r="K114">
        <v>18.942424242424199</v>
      </c>
    </row>
    <row r="115" spans="1:11">
      <c r="A115" t="s">
        <v>545</v>
      </c>
      <c r="B115">
        <v>22.452631578947301</v>
      </c>
      <c r="E115" t="s">
        <v>546</v>
      </c>
      <c r="G115">
        <v>21.732142857142801</v>
      </c>
      <c r="I115" t="s">
        <v>547</v>
      </c>
      <c r="K115">
        <v>18.8696969696969</v>
      </c>
    </row>
    <row r="116" spans="1:11">
      <c r="A116" t="s">
        <v>548</v>
      </c>
      <c r="B116">
        <v>22.334782608695601</v>
      </c>
      <c r="E116" t="s">
        <v>549</v>
      </c>
      <c r="G116">
        <v>21.6148148148148</v>
      </c>
      <c r="I116" t="s">
        <v>550</v>
      </c>
      <c r="K116">
        <v>18.8666666666666</v>
      </c>
    </row>
    <row r="117" spans="1:11">
      <c r="A117" t="s">
        <v>551</v>
      </c>
      <c r="B117">
        <v>22.172222222222199</v>
      </c>
      <c r="E117" t="s">
        <v>552</v>
      </c>
      <c r="G117">
        <v>21.5678571428571</v>
      </c>
      <c r="I117" t="s">
        <v>553</v>
      </c>
      <c r="K117">
        <v>18.7710526315789</v>
      </c>
    </row>
    <row r="118" spans="1:11">
      <c r="A118" t="s">
        <v>554</v>
      </c>
      <c r="B118">
        <v>22.1041666666666</v>
      </c>
      <c r="E118" t="s">
        <v>252</v>
      </c>
      <c r="G118">
        <v>21.558333333333302</v>
      </c>
      <c r="I118" t="s">
        <v>555</v>
      </c>
      <c r="K118">
        <v>18.715151515151501</v>
      </c>
    </row>
    <row r="119" spans="1:11">
      <c r="A119" t="s">
        <v>556</v>
      </c>
      <c r="B119">
        <v>22.1</v>
      </c>
      <c r="E119" t="s">
        <v>557</v>
      </c>
      <c r="G119">
        <v>21.5</v>
      </c>
      <c r="I119" t="s">
        <v>558</v>
      </c>
      <c r="K119">
        <v>18.7121212121212</v>
      </c>
    </row>
    <row r="120" spans="1:11">
      <c r="A120" t="s">
        <v>559</v>
      </c>
      <c r="B120">
        <v>22.1</v>
      </c>
      <c r="E120" t="s">
        <v>560</v>
      </c>
      <c r="G120">
        <v>21.49</v>
      </c>
      <c r="I120" t="s">
        <v>561</v>
      </c>
      <c r="K120">
        <v>18.664705882352902</v>
      </c>
    </row>
    <row r="121" spans="1:11">
      <c r="A121" t="s">
        <v>562</v>
      </c>
      <c r="B121">
        <v>22.085000000000001</v>
      </c>
      <c r="E121" t="s">
        <v>563</v>
      </c>
      <c r="G121">
        <v>21.48</v>
      </c>
      <c r="I121" t="s">
        <v>564</v>
      </c>
      <c r="K121">
        <v>18.574074074074002</v>
      </c>
    </row>
    <row r="122" spans="1:11">
      <c r="A122" t="s">
        <v>565</v>
      </c>
      <c r="B122">
        <v>22.010526315789399</v>
      </c>
      <c r="E122" t="s">
        <v>566</v>
      </c>
      <c r="G122">
        <v>21.345833333333299</v>
      </c>
      <c r="I122" t="s">
        <v>567</v>
      </c>
      <c r="K122">
        <v>18.461111111111101</v>
      </c>
    </row>
    <row r="123" spans="1:11">
      <c r="A123" t="s">
        <v>568</v>
      </c>
      <c r="B123">
        <v>21.97</v>
      </c>
      <c r="E123" t="s">
        <v>569</v>
      </c>
      <c r="G123">
        <v>21.162500000000001</v>
      </c>
      <c r="I123" t="s">
        <v>570</v>
      </c>
      <c r="K123">
        <v>18.461111111111101</v>
      </c>
    </row>
    <row r="124" spans="1:11">
      <c r="A124" t="s">
        <v>571</v>
      </c>
      <c r="B124">
        <v>21.878571428571401</v>
      </c>
      <c r="E124" t="s">
        <v>572</v>
      </c>
      <c r="G124">
        <v>21.096</v>
      </c>
      <c r="I124" t="s">
        <v>573</v>
      </c>
      <c r="K124">
        <v>18.458974358974299</v>
      </c>
    </row>
    <row r="125" spans="1:11">
      <c r="A125" t="s">
        <v>574</v>
      </c>
      <c r="B125">
        <v>21.8772727272727</v>
      </c>
      <c r="E125" t="s">
        <v>575</v>
      </c>
      <c r="G125">
        <v>21.065217391304301</v>
      </c>
      <c r="I125" t="s">
        <v>576</v>
      </c>
      <c r="K125">
        <v>18.4444444444444</v>
      </c>
    </row>
    <row r="126" spans="1:11">
      <c r="A126" t="s">
        <v>577</v>
      </c>
      <c r="B126">
        <v>21.788235294117602</v>
      </c>
      <c r="E126" t="s">
        <v>578</v>
      </c>
      <c r="G126">
        <v>20.983333333333299</v>
      </c>
      <c r="I126" t="s">
        <v>579</v>
      </c>
      <c r="K126">
        <v>18.3472222222222</v>
      </c>
    </row>
    <row r="127" spans="1:11">
      <c r="A127" t="s">
        <v>580</v>
      </c>
      <c r="B127">
        <v>20.9</v>
      </c>
      <c r="E127" t="s">
        <v>581</v>
      </c>
      <c r="G127">
        <v>20.962499999999999</v>
      </c>
      <c r="I127" t="s">
        <v>582</v>
      </c>
      <c r="K127">
        <v>18.2</v>
      </c>
    </row>
    <row r="128" spans="1:11">
      <c r="A128" t="s">
        <v>583</v>
      </c>
      <c r="B128">
        <v>20.89</v>
      </c>
      <c r="E128" t="s">
        <v>584</v>
      </c>
      <c r="G128">
        <v>20.881818181818101</v>
      </c>
      <c r="I128" t="s">
        <v>585</v>
      </c>
      <c r="K128">
        <v>18.2</v>
      </c>
    </row>
    <row r="129" spans="1:11">
      <c r="A129" t="s">
        <v>586</v>
      </c>
      <c r="B129">
        <v>20.842857142857099</v>
      </c>
      <c r="E129" t="s">
        <v>587</v>
      </c>
      <c r="G129">
        <v>20.820833333333301</v>
      </c>
      <c r="I129" t="s">
        <v>588</v>
      </c>
      <c r="K129">
        <v>18.1410256410256</v>
      </c>
    </row>
    <row r="130" spans="1:11">
      <c r="A130" t="s">
        <v>589</v>
      </c>
      <c r="B130">
        <v>20.757142857142799</v>
      </c>
      <c r="E130" t="s">
        <v>590</v>
      </c>
      <c r="G130">
        <v>20.795833333333299</v>
      </c>
      <c r="I130" t="s">
        <v>591</v>
      </c>
      <c r="K130">
        <v>17.672727272727201</v>
      </c>
    </row>
    <row r="131" spans="1:11">
      <c r="A131" t="s">
        <v>592</v>
      </c>
      <c r="B131">
        <v>20.74</v>
      </c>
      <c r="E131" t="s">
        <v>593</v>
      </c>
      <c r="G131">
        <v>20.716666666666601</v>
      </c>
      <c r="I131" t="s">
        <v>594</v>
      </c>
      <c r="K131">
        <v>17.6482758620689</v>
      </c>
    </row>
    <row r="132" spans="1:11">
      <c r="A132" t="s">
        <v>595</v>
      </c>
      <c r="B132">
        <v>20.714285714285701</v>
      </c>
      <c r="E132" t="s">
        <v>596</v>
      </c>
      <c r="G132">
        <v>20.7</v>
      </c>
      <c r="I132" t="s">
        <v>597</v>
      </c>
      <c r="K132">
        <v>17.530769230769199</v>
      </c>
    </row>
    <row r="133" spans="1:11">
      <c r="A133" t="s">
        <v>598</v>
      </c>
      <c r="B133">
        <v>20.6875</v>
      </c>
      <c r="E133" t="s">
        <v>599</v>
      </c>
      <c r="G133">
        <v>20.621052631578898</v>
      </c>
      <c r="I133" t="s">
        <v>600</v>
      </c>
      <c r="K133">
        <v>17.457142857142799</v>
      </c>
    </row>
    <row r="134" spans="1:11">
      <c r="A134" t="s">
        <v>601</v>
      </c>
      <c r="B134">
        <v>20.638461538461499</v>
      </c>
      <c r="E134" t="s">
        <v>602</v>
      </c>
      <c r="G134">
        <v>20.5625</v>
      </c>
      <c r="I134" t="s">
        <v>603</v>
      </c>
      <c r="K134">
        <v>17.427272727272701</v>
      </c>
    </row>
    <row r="135" spans="1:11">
      <c r="A135" t="s">
        <v>604</v>
      </c>
      <c r="B135">
        <v>20.61</v>
      </c>
      <c r="E135" t="s">
        <v>431</v>
      </c>
      <c r="G135">
        <v>20.45</v>
      </c>
      <c r="I135" t="s">
        <v>605</v>
      </c>
      <c r="K135">
        <v>17.3685714285714</v>
      </c>
    </row>
    <row r="136" spans="1:11">
      <c r="A136" t="s">
        <v>606</v>
      </c>
      <c r="B136">
        <v>20.54</v>
      </c>
      <c r="E136" t="s">
        <v>607</v>
      </c>
      <c r="G136">
        <v>20.3272727272727</v>
      </c>
      <c r="I136" t="s">
        <v>587</v>
      </c>
      <c r="K136">
        <v>17.273684210526302</v>
      </c>
    </row>
    <row r="137" spans="1:11">
      <c r="A137" t="s">
        <v>608</v>
      </c>
      <c r="B137">
        <v>20.329411764705799</v>
      </c>
      <c r="E137" t="s">
        <v>609</v>
      </c>
      <c r="G137">
        <v>20.2</v>
      </c>
      <c r="I137" t="s">
        <v>610</v>
      </c>
      <c r="K137">
        <v>17.179310344827499</v>
      </c>
    </row>
    <row r="138" spans="1:11">
      <c r="A138" t="s">
        <v>611</v>
      </c>
      <c r="B138">
        <v>20.323076923076901</v>
      </c>
      <c r="E138" t="s">
        <v>612</v>
      </c>
      <c r="G138">
        <v>20.13</v>
      </c>
      <c r="I138" t="s">
        <v>299</v>
      </c>
      <c r="K138">
        <v>17.0975</v>
      </c>
    </row>
    <row r="139" spans="1:11">
      <c r="A139" t="s">
        <v>613</v>
      </c>
      <c r="B139">
        <v>20.3</v>
      </c>
      <c r="E139" t="s">
        <v>614</v>
      </c>
      <c r="G139">
        <v>20.112500000000001</v>
      </c>
      <c r="I139" t="s">
        <v>615</v>
      </c>
      <c r="K139">
        <v>17.016666666666602</v>
      </c>
    </row>
    <row r="140" spans="1:11">
      <c r="A140" t="s">
        <v>616</v>
      </c>
      <c r="B140">
        <v>20.27</v>
      </c>
      <c r="E140" t="s">
        <v>617</v>
      </c>
      <c r="G140">
        <v>20.100000000000001</v>
      </c>
      <c r="I140" t="s">
        <v>618</v>
      </c>
      <c r="K140">
        <v>17.0081081081081</v>
      </c>
    </row>
    <row r="141" spans="1:11">
      <c r="A141" t="s">
        <v>619</v>
      </c>
      <c r="B141">
        <v>20.183333333333302</v>
      </c>
      <c r="E141" t="s">
        <v>620</v>
      </c>
      <c r="G141">
        <v>19.966666666666601</v>
      </c>
      <c r="I141" t="s">
        <v>621</v>
      </c>
      <c r="K141">
        <v>16.844444444444399</v>
      </c>
    </row>
    <row r="142" spans="1:11">
      <c r="A142" t="s">
        <v>622</v>
      </c>
      <c r="B142">
        <v>20.0473684210526</v>
      </c>
      <c r="E142" t="s">
        <v>623</v>
      </c>
      <c r="G142">
        <v>19.739999999999998</v>
      </c>
      <c r="I142" t="s">
        <v>624</v>
      </c>
      <c r="K142">
        <v>16.827027027027</v>
      </c>
    </row>
    <row r="143" spans="1:11">
      <c r="A143" t="s">
        <v>625</v>
      </c>
      <c r="B143">
        <v>19.736363636363599</v>
      </c>
      <c r="E143" t="s">
        <v>626</v>
      </c>
      <c r="G143">
        <v>19.5208333333333</v>
      </c>
      <c r="I143" t="s">
        <v>627</v>
      </c>
      <c r="K143">
        <v>16.581578947368399</v>
      </c>
    </row>
    <row r="144" spans="1:11">
      <c r="A144" t="s">
        <v>628</v>
      </c>
      <c r="B144">
        <v>19.711111111111101</v>
      </c>
      <c r="E144" t="s">
        <v>629</v>
      </c>
      <c r="G144">
        <v>19.491304347825999</v>
      </c>
      <c r="I144" t="s">
        <v>630</v>
      </c>
      <c r="K144">
        <v>16.579487179487099</v>
      </c>
    </row>
    <row r="145" spans="1:11">
      <c r="A145" t="s">
        <v>631</v>
      </c>
      <c r="B145">
        <v>19.707692307692302</v>
      </c>
      <c r="E145" t="s">
        <v>632</v>
      </c>
      <c r="G145">
        <v>19.410714285714199</v>
      </c>
      <c r="I145" t="s">
        <v>633</v>
      </c>
      <c r="K145">
        <v>16.534375000000001</v>
      </c>
    </row>
    <row r="146" spans="1:11">
      <c r="A146" t="s">
        <v>634</v>
      </c>
      <c r="B146">
        <v>19.6434782608695</v>
      </c>
      <c r="E146" t="s">
        <v>635</v>
      </c>
      <c r="G146">
        <v>19.406896551724099</v>
      </c>
      <c r="I146" t="s">
        <v>636</v>
      </c>
      <c r="K146">
        <v>16.532352941176399</v>
      </c>
    </row>
    <row r="147" spans="1:11">
      <c r="A147" t="s">
        <v>637</v>
      </c>
      <c r="B147">
        <v>19.587499999999999</v>
      </c>
      <c r="E147" t="s">
        <v>638</v>
      </c>
      <c r="G147">
        <v>19.3928571428571</v>
      </c>
      <c r="I147" t="s">
        <v>639</v>
      </c>
      <c r="K147">
        <v>16.510344827586199</v>
      </c>
    </row>
    <row r="148" spans="1:11">
      <c r="A148" t="s">
        <v>640</v>
      </c>
      <c r="B148">
        <v>19.566666666666599</v>
      </c>
      <c r="E148" t="s">
        <v>641</v>
      </c>
      <c r="G148">
        <v>19.36</v>
      </c>
      <c r="I148" t="s">
        <v>642</v>
      </c>
      <c r="K148">
        <v>16.468</v>
      </c>
    </row>
    <row r="149" spans="1:11">
      <c r="A149" t="s">
        <v>643</v>
      </c>
      <c r="B149">
        <v>19.523809523809501</v>
      </c>
      <c r="E149" t="s">
        <v>644</v>
      </c>
      <c r="G149">
        <v>19.350000000000001</v>
      </c>
      <c r="I149" t="s">
        <v>645</v>
      </c>
      <c r="K149">
        <v>16.4375</v>
      </c>
    </row>
    <row r="150" spans="1:11">
      <c r="A150" t="s">
        <v>646</v>
      </c>
      <c r="B150">
        <v>19.442105263157799</v>
      </c>
      <c r="E150" t="s">
        <v>564</v>
      </c>
      <c r="G150">
        <v>19.34</v>
      </c>
      <c r="I150" t="s">
        <v>647</v>
      </c>
      <c r="K150">
        <v>16.428947368420999</v>
      </c>
    </row>
    <row r="151" spans="1:11">
      <c r="A151" t="s">
        <v>648</v>
      </c>
      <c r="B151">
        <v>19.228571428571399</v>
      </c>
      <c r="E151" t="s">
        <v>513</v>
      </c>
      <c r="G151">
        <v>19.314814814814799</v>
      </c>
      <c r="I151" t="s">
        <v>649</v>
      </c>
      <c r="K151">
        <v>16.350000000000001</v>
      </c>
    </row>
    <row r="152" spans="1:11">
      <c r="A152" t="s">
        <v>650</v>
      </c>
      <c r="B152">
        <v>19.176923076923</v>
      </c>
      <c r="E152" t="s">
        <v>651</v>
      </c>
      <c r="G152">
        <v>19.309999999999999</v>
      </c>
      <c r="I152" t="s">
        <v>652</v>
      </c>
      <c r="K152">
        <v>16.3357142857142</v>
      </c>
    </row>
    <row r="153" spans="1:11">
      <c r="A153" t="s">
        <v>653</v>
      </c>
      <c r="B153">
        <v>19.14</v>
      </c>
      <c r="E153" t="s">
        <v>654</v>
      </c>
      <c r="G153">
        <v>19.309090909090902</v>
      </c>
      <c r="I153" t="s">
        <v>655</v>
      </c>
      <c r="K153">
        <v>16.2424242424242</v>
      </c>
    </row>
    <row r="154" spans="1:11">
      <c r="A154" t="s">
        <v>656</v>
      </c>
      <c r="B154">
        <v>19.031578947368399</v>
      </c>
      <c r="E154" t="s">
        <v>373</v>
      </c>
      <c r="G154">
        <v>19.2259259259259</v>
      </c>
      <c r="I154" t="s">
        <v>657</v>
      </c>
      <c r="K154">
        <v>16.239999999999998</v>
      </c>
    </row>
    <row r="155" spans="1:11">
      <c r="A155" t="s">
        <v>454</v>
      </c>
      <c r="B155">
        <v>18.987500000000001</v>
      </c>
      <c r="E155" t="s">
        <v>228</v>
      </c>
      <c r="G155">
        <v>19.225000000000001</v>
      </c>
      <c r="I155" t="s">
        <v>658</v>
      </c>
      <c r="K155">
        <v>16.151282051281999</v>
      </c>
    </row>
    <row r="156" spans="1:11">
      <c r="A156" t="s">
        <v>659</v>
      </c>
      <c r="B156">
        <v>18.910526315789401</v>
      </c>
      <c r="E156" t="s">
        <v>411</v>
      </c>
      <c r="G156">
        <v>19.183333333333302</v>
      </c>
      <c r="I156" t="s">
        <v>660</v>
      </c>
      <c r="K156">
        <v>15.845161290322499</v>
      </c>
    </row>
    <row r="157" spans="1:11">
      <c r="A157" t="s">
        <v>433</v>
      </c>
      <c r="B157">
        <v>18.79</v>
      </c>
      <c r="E157" t="s">
        <v>661</v>
      </c>
      <c r="G157">
        <v>19.125</v>
      </c>
      <c r="I157" t="s">
        <v>662</v>
      </c>
      <c r="K157">
        <v>15.8441176470588</v>
      </c>
    </row>
    <row r="158" spans="1:11">
      <c r="A158" t="s">
        <v>663</v>
      </c>
      <c r="B158">
        <v>18.774999999999999</v>
      </c>
      <c r="E158" t="s">
        <v>534</v>
      </c>
      <c r="G158">
        <v>19.1033333333333</v>
      </c>
      <c r="I158" t="s">
        <v>664</v>
      </c>
      <c r="K158">
        <v>15.797058823529399</v>
      </c>
    </row>
    <row r="159" spans="1:11">
      <c r="A159" t="s">
        <v>665</v>
      </c>
      <c r="B159">
        <v>18.769230769230699</v>
      </c>
      <c r="E159" t="s">
        <v>666</v>
      </c>
      <c r="G159">
        <v>19.045000000000002</v>
      </c>
      <c r="I159" t="s">
        <v>635</v>
      </c>
      <c r="K159">
        <v>15.705882352941099</v>
      </c>
    </row>
    <row r="160" spans="1:11">
      <c r="A160" t="s">
        <v>667</v>
      </c>
      <c r="B160">
        <v>18.7523809523809</v>
      </c>
      <c r="E160" t="s">
        <v>668</v>
      </c>
      <c r="G160">
        <v>19.034482758620602</v>
      </c>
      <c r="I160" t="s">
        <v>669</v>
      </c>
      <c r="K160">
        <v>15.571999999999999</v>
      </c>
    </row>
    <row r="161" spans="1:11">
      <c r="A161" t="s">
        <v>670</v>
      </c>
      <c r="B161">
        <v>18.695652173913</v>
      </c>
      <c r="E161" t="s">
        <v>671</v>
      </c>
      <c r="G161">
        <v>18.9916666666666</v>
      </c>
      <c r="I161" t="s">
        <v>263</v>
      </c>
      <c r="K161">
        <v>15.519354838709599</v>
      </c>
    </row>
    <row r="162" spans="1:11">
      <c r="A162" t="s">
        <v>672</v>
      </c>
      <c r="B162">
        <v>18.63</v>
      </c>
      <c r="E162" t="s">
        <v>673</v>
      </c>
      <c r="G162">
        <v>18.9142857142857</v>
      </c>
      <c r="I162" t="s">
        <v>674</v>
      </c>
      <c r="K162">
        <v>15.5111111111111</v>
      </c>
    </row>
    <row r="163" spans="1:11">
      <c r="A163" t="s">
        <v>675</v>
      </c>
      <c r="B163">
        <v>18.63</v>
      </c>
      <c r="E163" t="s">
        <v>676</v>
      </c>
      <c r="G163">
        <v>18.844444444444399</v>
      </c>
      <c r="I163" t="s">
        <v>677</v>
      </c>
      <c r="K163">
        <v>15.46</v>
      </c>
    </row>
    <row r="164" spans="1:11">
      <c r="A164" t="s">
        <v>678</v>
      </c>
      <c r="B164">
        <v>18.566666666666599</v>
      </c>
      <c r="E164" t="s">
        <v>616</v>
      </c>
      <c r="G164">
        <v>18.733333333333299</v>
      </c>
      <c r="I164" t="s">
        <v>679</v>
      </c>
      <c r="K164">
        <v>15.4037037037037</v>
      </c>
    </row>
    <row r="165" spans="1:11">
      <c r="A165" t="s">
        <v>680</v>
      </c>
      <c r="B165">
        <v>18.495000000000001</v>
      </c>
      <c r="E165" t="s">
        <v>681</v>
      </c>
      <c r="G165">
        <v>18.710344827586201</v>
      </c>
      <c r="I165" t="s">
        <v>682</v>
      </c>
      <c r="K165">
        <v>15.3608695652173</v>
      </c>
    </row>
    <row r="166" spans="1:11">
      <c r="A166" t="s">
        <v>683</v>
      </c>
      <c r="B166">
        <v>18.4826086956521</v>
      </c>
      <c r="E166" t="s">
        <v>684</v>
      </c>
      <c r="G166">
        <v>18.570833333333301</v>
      </c>
      <c r="I166" t="s">
        <v>685</v>
      </c>
      <c r="K166">
        <v>15.1933333333333</v>
      </c>
    </row>
    <row r="167" spans="1:11">
      <c r="A167" t="s">
        <v>686</v>
      </c>
      <c r="B167">
        <v>18.4714285714285</v>
      </c>
      <c r="E167" t="s">
        <v>687</v>
      </c>
      <c r="G167">
        <v>18.52</v>
      </c>
      <c r="I167" t="s">
        <v>688</v>
      </c>
      <c r="K167">
        <v>15.115625</v>
      </c>
    </row>
    <row r="168" spans="1:11">
      <c r="A168" t="s">
        <v>689</v>
      </c>
      <c r="B168">
        <v>18.2846153846153</v>
      </c>
      <c r="E168" t="s">
        <v>690</v>
      </c>
      <c r="G168">
        <v>18.456521739130402</v>
      </c>
      <c r="I168" t="s">
        <v>691</v>
      </c>
      <c r="K168">
        <v>15.09</v>
      </c>
    </row>
    <row r="169" spans="1:11">
      <c r="A169" t="s">
        <v>692</v>
      </c>
      <c r="B169">
        <v>18.100000000000001</v>
      </c>
      <c r="E169" t="s">
        <v>678</v>
      </c>
      <c r="G169">
        <v>18.383333333333301</v>
      </c>
      <c r="I169" t="s">
        <v>693</v>
      </c>
      <c r="K169">
        <v>15.062962962962899</v>
      </c>
    </row>
    <row r="170" spans="1:11">
      <c r="A170" t="s">
        <v>694</v>
      </c>
      <c r="B170">
        <v>18.100000000000001</v>
      </c>
      <c r="E170" t="s">
        <v>695</v>
      </c>
      <c r="G170">
        <v>18.330434782608599</v>
      </c>
      <c r="I170" t="s">
        <v>696</v>
      </c>
      <c r="K170">
        <v>15.057894736842099</v>
      </c>
    </row>
    <row r="171" spans="1:11">
      <c r="A171" t="s">
        <v>614</v>
      </c>
      <c r="B171">
        <v>18.071428571428498</v>
      </c>
      <c r="E171" t="s">
        <v>697</v>
      </c>
      <c r="G171">
        <v>18.327586206896498</v>
      </c>
      <c r="I171" t="s">
        <v>698</v>
      </c>
      <c r="K171">
        <v>15.0181818181818</v>
      </c>
    </row>
    <row r="172" spans="1:11">
      <c r="A172" t="s">
        <v>699</v>
      </c>
      <c r="B172">
        <v>17.910526315789401</v>
      </c>
      <c r="E172" t="s">
        <v>700</v>
      </c>
      <c r="G172">
        <v>18.225000000000001</v>
      </c>
      <c r="I172" t="s">
        <v>701</v>
      </c>
      <c r="K172">
        <v>15.009375</v>
      </c>
    </row>
    <row r="173" spans="1:11">
      <c r="A173" t="s">
        <v>702</v>
      </c>
      <c r="B173">
        <v>17.794736842105198</v>
      </c>
      <c r="E173" t="s">
        <v>703</v>
      </c>
      <c r="G173">
        <v>18.184210526315699</v>
      </c>
      <c r="I173" t="s">
        <v>704</v>
      </c>
      <c r="K173">
        <v>14.9896551724137</v>
      </c>
    </row>
    <row r="174" spans="1:11">
      <c r="A174" t="s">
        <v>705</v>
      </c>
      <c r="B174">
        <v>17.466666666666601</v>
      </c>
      <c r="E174" t="s">
        <v>618</v>
      </c>
      <c r="G174">
        <v>18.139130434782601</v>
      </c>
      <c r="I174" t="s">
        <v>706</v>
      </c>
      <c r="K174">
        <v>14.9774193548387</v>
      </c>
    </row>
    <row r="175" spans="1:11">
      <c r="A175" t="s">
        <v>707</v>
      </c>
      <c r="B175">
        <v>17.461904761904702</v>
      </c>
      <c r="E175" t="s">
        <v>708</v>
      </c>
      <c r="G175">
        <v>18.112500000000001</v>
      </c>
      <c r="I175" t="s">
        <v>709</v>
      </c>
      <c r="K175">
        <v>14.9157894736842</v>
      </c>
    </row>
    <row r="176" spans="1:11">
      <c r="A176" t="s">
        <v>710</v>
      </c>
      <c r="B176">
        <v>17.454999999999998</v>
      </c>
      <c r="E176" t="s">
        <v>446</v>
      </c>
      <c r="G176">
        <v>18</v>
      </c>
      <c r="I176" t="s">
        <v>711</v>
      </c>
      <c r="K176">
        <v>14.909090909090899</v>
      </c>
    </row>
    <row r="177" spans="1:11">
      <c r="A177" t="s">
        <v>552</v>
      </c>
      <c r="B177">
        <v>17.3928571428571</v>
      </c>
      <c r="E177" t="s">
        <v>712</v>
      </c>
      <c r="G177">
        <v>17.983333333333299</v>
      </c>
      <c r="I177" t="s">
        <v>713</v>
      </c>
      <c r="K177">
        <v>14.8542857142857</v>
      </c>
    </row>
    <row r="178" spans="1:11">
      <c r="A178" t="s">
        <v>714</v>
      </c>
      <c r="B178">
        <v>17.350000000000001</v>
      </c>
      <c r="E178" t="s">
        <v>634</v>
      </c>
      <c r="G178">
        <v>17.9368421052631</v>
      </c>
      <c r="I178" t="s">
        <v>715</v>
      </c>
      <c r="K178">
        <v>14.8176470588235</v>
      </c>
    </row>
    <row r="179" spans="1:11">
      <c r="A179" t="s">
        <v>716</v>
      </c>
      <c r="B179">
        <v>17.295454545454501</v>
      </c>
      <c r="E179" t="s">
        <v>717</v>
      </c>
      <c r="G179">
        <v>17.816666666666599</v>
      </c>
      <c r="I179" t="s">
        <v>718</v>
      </c>
      <c r="K179">
        <v>14.7275862068965</v>
      </c>
    </row>
    <row r="180" spans="1:11">
      <c r="A180" t="s">
        <v>719</v>
      </c>
      <c r="B180">
        <v>17.170588235294101</v>
      </c>
      <c r="E180" t="s">
        <v>720</v>
      </c>
      <c r="G180">
        <v>17.778947368421001</v>
      </c>
      <c r="I180" t="s">
        <v>721</v>
      </c>
      <c r="K180">
        <v>14.641935483870901</v>
      </c>
    </row>
    <row r="181" spans="1:11">
      <c r="A181" t="s">
        <v>722</v>
      </c>
      <c r="B181">
        <v>17.115789473684199</v>
      </c>
      <c r="E181" t="s">
        <v>723</v>
      </c>
      <c r="G181">
        <v>17.754166666666599</v>
      </c>
      <c r="I181" t="s">
        <v>724</v>
      </c>
      <c r="K181">
        <v>14.5838709677419</v>
      </c>
    </row>
    <row r="182" spans="1:11">
      <c r="A182" t="s">
        <v>725</v>
      </c>
      <c r="B182">
        <v>16.9375</v>
      </c>
      <c r="E182" t="s">
        <v>726</v>
      </c>
      <c r="G182">
        <v>17.737931034482699</v>
      </c>
      <c r="I182" t="s">
        <v>727</v>
      </c>
      <c r="K182">
        <v>14.552631578947301</v>
      </c>
    </row>
    <row r="183" spans="1:11">
      <c r="A183" t="s">
        <v>728</v>
      </c>
      <c r="B183">
        <v>16.7631578947368</v>
      </c>
      <c r="E183" t="s">
        <v>729</v>
      </c>
      <c r="G183">
        <v>17.713333333333299</v>
      </c>
      <c r="I183" t="s">
        <v>730</v>
      </c>
      <c r="K183">
        <v>14.459375</v>
      </c>
    </row>
    <row r="184" spans="1:11">
      <c r="A184" t="s">
        <v>731</v>
      </c>
      <c r="B184">
        <v>16.6166666666666</v>
      </c>
      <c r="E184" t="s">
        <v>732</v>
      </c>
      <c r="G184">
        <v>17.5266666666666</v>
      </c>
      <c r="I184" t="s">
        <v>733</v>
      </c>
      <c r="K184">
        <v>14.425925925925901</v>
      </c>
    </row>
    <row r="185" spans="1:11">
      <c r="A185" t="s">
        <v>734</v>
      </c>
      <c r="B185">
        <v>16.5133333333333</v>
      </c>
      <c r="E185" t="s">
        <v>735</v>
      </c>
      <c r="G185">
        <v>17.515999999999998</v>
      </c>
      <c r="I185" t="s">
        <v>736</v>
      </c>
      <c r="K185">
        <v>14.3827586206896</v>
      </c>
    </row>
    <row r="186" spans="1:11">
      <c r="A186" t="s">
        <v>737</v>
      </c>
      <c r="B186">
        <v>16.425000000000001</v>
      </c>
      <c r="E186" t="s">
        <v>493</v>
      </c>
      <c r="G186">
        <v>17.417391304347799</v>
      </c>
      <c r="I186" t="s">
        <v>738</v>
      </c>
      <c r="K186">
        <v>14.1969696969696</v>
      </c>
    </row>
    <row r="187" spans="1:11">
      <c r="A187" t="s">
        <v>739</v>
      </c>
      <c r="B187">
        <v>16.399999999999999</v>
      </c>
      <c r="E187" t="s">
        <v>740</v>
      </c>
      <c r="G187">
        <v>17.399999999999999</v>
      </c>
      <c r="I187" t="s">
        <v>741</v>
      </c>
      <c r="K187">
        <v>14.1428571428571</v>
      </c>
    </row>
    <row r="188" spans="1:11">
      <c r="A188" t="s">
        <v>742</v>
      </c>
      <c r="B188">
        <v>16.383333333333301</v>
      </c>
      <c r="E188" t="s">
        <v>743</v>
      </c>
      <c r="G188">
        <v>17.322222222222202</v>
      </c>
      <c r="I188" t="s">
        <v>744</v>
      </c>
      <c r="K188">
        <v>14.092592592592499</v>
      </c>
    </row>
    <row r="189" spans="1:11">
      <c r="A189" t="s">
        <v>745</v>
      </c>
      <c r="B189">
        <v>16.242857142857101</v>
      </c>
      <c r="E189" t="s">
        <v>746</v>
      </c>
      <c r="G189">
        <v>17.25</v>
      </c>
      <c r="I189" t="s">
        <v>747</v>
      </c>
      <c r="K189">
        <v>13.984</v>
      </c>
    </row>
    <row r="190" spans="1:11">
      <c r="A190" t="s">
        <v>748</v>
      </c>
      <c r="B190">
        <v>16.22</v>
      </c>
      <c r="E190" t="s">
        <v>749</v>
      </c>
      <c r="G190">
        <v>17.18</v>
      </c>
      <c r="I190" t="s">
        <v>750</v>
      </c>
      <c r="K190">
        <v>13.8916666666666</v>
      </c>
    </row>
    <row r="191" spans="1:11">
      <c r="A191" t="s">
        <v>751</v>
      </c>
      <c r="B191">
        <v>16.191666666666599</v>
      </c>
      <c r="E191" t="s">
        <v>752</v>
      </c>
      <c r="G191">
        <v>17.079999999999998</v>
      </c>
      <c r="I191" t="s">
        <v>753</v>
      </c>
      <c r="K191">
        <v>13.73</v>
      </c>
    </row>
    <row r="192" spans="1:11">
      <c r="A192" t="s">
        <v>754</v>
      </c>
      <c r="B192">
        <v>16.139130434782601</v>
      </c>
      <c r="E192" t="s">
        <v>755</v>
      </c>
      <c r="G192">
        <v>16.956666666666599</v>
      </c>
      <c r="I192" t="s">
        <v>756</v>
      </c>
      <c r="K192">
        <v>13.6826086956521</v>
      </c>
    </row>
    <row r="193" spans="1:11">
      <c r="A193" t="s">
        <v>757</v>
      </c>
      <c r="B193">
        <v>16.109090909090899</v>
      </c>
      <c r="E193" t="s">
        <v>758</v>
      </c>
      <c r="G193">
        <v>16.72</v>
      </c>
      <c r="I193" t="s">
        <v>759</v>
      </c>
      <c r="K193">
        <v>13.6694444444444</v>
      </c>
    </row>
    <row r="194" spans="1:11">
      <c r="A194" t="s">
        <v>760</v>
      </c>
      <c r="B194">
        <v>16.014285714285698</v>
      </c>
      <c r="E194" t="s">
        <v>761</v>
      </c>
      <c r="G194">
        <v>16.5625</v>
      </c>
      <c r="I194" t="s">
        <v>762</v>
      </c>
      <c r="K194">
        <v>13.6285714285714</v>
      </c>
    </row>
    <row r="195" spans="1:11">
      <c r="A195" t="s">
        <v>763</v>
      </c>
      <c r="B195">
        <v>16.007142857142799</v>
      </c>
      <c r="E195" t="s">
        <v>273</v>
      </c>
      <c r="G195">
        <v>16.545454545454501</v>
      </c>
      <c r="I195" t="s">
        <v>764</v>
      </c>
      <c r="K195">
        <v>13.52</v>
      </c>
    </row>
    <row r="196" spans="1:11">
      <c r="A196" t="s">
        <v>765</v>
      </c>
      <c r="B196">
        <v>16</v>
      </c>
      <c r="E196" t="s">
        <v>766</v>
      </c>
      <c r="G196">
        <v>16.399999999999999</v>
      </c>
      <c r="I196" t="s">
        <v>767</v>
      </c>
      <c r="K196">
        <v>13.3206896551724</v>
      </c>
    </row>
    <row r="197" spans="1:11">
      <c r="A197" t="s">
        <v>768</v>
      </c>
      <c r="B197">
        <v>15.93125</v>
      </c>
      <c r="E197" t="s">
        <v>769</v>
      </c>
      <c r="G197">
        <v>16.399999999999999</v>
      </c>
      <c r="I197" t="s">
        <v>770</v>
      </c>
      <c r="K197">
        <v>13.066666666666601</v>
      </c>
    </row>
    <row r="198" spans="1:11">
      <c r="A198" t="s">
        <v>771</v>
      </c>
      <c r="B198">
        <v>15.925000000000001</v>
      </c>
      <c r="E198" t="s">
        <v>772</v>
      </c>
      <c r="G198">
        <v>16.228571428571399</v>
      </c>
      <c r="I198" t="s">
        <v>773</v>
      </c>
      <c r="K198">
        <v>13.0619047619047</v>
      </c>
    </row>
    <row r="199" spans="1:11">
      <c r="A199" t="s">
        <v>774</v>
      </c>
      <c r="B199">
        <v>15.8388888888888</v>
      </c>
      <c r="E199" t="s">
        <v>775</v>
      </c>
      <c r="G199">
        <v>16.2107142857142</v>
      </c>
      <c r="I199" t="s">
        <v>776</v>
      </c>
      <c r="K199">
        <v>13.0555555555555</v>
      </c>
    </row>
    <row r="200" spans="1:11">
      <c r="A200" t="s">
        <v>777</v>
      </c>
      <c r="B200">
        <v>15.8333333333333</v>
      </c>
      <c r="E200" t="s">
        <v>778</v>
      </c>
      <c r="G200">
        <v>16.195833333333301</v>
      </c>
      <c r="I200" t="s">
        <v>779</v>
      </c>
      <c r="K200">
        <v>13.0117647058823</v>
      </c>
    </row>
    <row r="201" spans="1:11">
      <c r="A201" t="s">
        <v>780</v>
      </c>
      <c r="B201">
        <v>15.76</v>
      </c>
      <c r="E201" t="s">
        <v>781</v>
      </c>
      <c r="G201">
        <v>16.1428571428571</v>
      </c>
      <c r="I201" t="s">
        <v>782</v>
      </c>
      <c r="K201">
        <v>12.8333333333333</v>
      </c>
    </row>
    <row r="202" spans="1:11">
      <c r="A202" t="s">
        <v>783</v>
      </c>
      <c r="B202">
        <v>15.605555555555499</v>
      </c>
      <c r="E202" t="s">
        <v>784</v>
      </c>
      <c r="G202">
        <v>15.9125</v>
      </c>
      <c r="I202" t="s">
        <v>785</v>
      </c>
      <c r="K202">
        <v>12.785185185185099</v>
      </c>
    </row>
    <row r="203" spans="1:11">
      <c r="A203" t="s">
        <v>786</v>
      </c>
      <c r="B203">
        <v>15.35</v>
      </c>
      <c r="E203" t="s">
        <v>787</v>
      </c>
      <c r="G203">
        <v>15.9</v>
      </c>
      <c r="I203" t="s">
        <v>788</v>
      </c>
      <c r="K203">
        <v>12.5464285714285</v>
      </c>
    </row>
    <row r="204" spans="1:11">
      <c r="A204" t="s">
        <v>789</v>
      </c>
      <c r="B204">
        <v>15.3071428571428</v>
      </c>
      <c r="E204" t="s">
        <v>790</v>
      </c>
      <c r="G204">
        <v>15.8</v>
      </c>
      <c r="I204" t="s">
        <v>407</v>
      </c>
      <c r="K204">
        <v>12.528</v>
      </c>
    </row>
    <row r="205" spans="1:11">
      <c r="A205" t="s">
        <v>791</v>
      </c>
      <c r="B205">
        <v>15.09</v>
      </c>
      <c r="E205" t="s">
        <v>792</v>
      </c>
      <c r="G205">
        <v>15.75</v>
      </c>
      <c r="I205" t="s">
        <v>278</v>
      </c>
      <c r="K205">
        <v>12.3368421052631</v>
      </c>
    </row>
    <row r="206" spans="1:11">
      <c r="A206" t="s">
        <v>793</v>
      </c>
      <c r="B206">
        <v>15.06</v>
      </c>
      <c r="E206" t="s">
        <v>794</v>
      </c>
      <c r="G206">
        <v>15.705</v>
      </c>
      <c r="I206" t="s">
        <v>795</v>
      </c>
      <c r="K206">
        <v>12.3206896551724</v>
      </c>
    </row>
    <row r="207" spans="1:11">
      <c r="A207" t="s">
        <v>796</v>
      </c>
      <c r="B207">
        <v>15.05</v>
      </c>
      <c r="E207" t="s">
        <v>797</v>
      </c>
      <c r="G207">
        <v>15.7</v>
      </c>
      <c r="I207" t="s">
        <v>798</v>
      </c>
      <c r="K207">
        <v>12.285714285714199</v>
      </c>
    </row>
    <row r="208" spans="1:11">
      <c r="A208" t="s">
        <v>799</v>
      </c>
      <c r="B208">
        <v>15</v>
      </c>
      <c r="E208" t="s">
        <v>800</v>
      </c>
      <c r="G208">
        <v>15.4</v>
      </c>
      <c r="I208" t="s">
        <v>801</v>
      </c>
      <c r="K208">
        <v>12.2214285714285</v>
      </c>
    </row>
    <row r="209" spans="1:11">
      <c r="A209" t="s">
        <v>802</v>
      </c>
      <c r="B209">
        <v>14.9857142857142</v>
      </c>
      <c r="E209" t="s">
        <v>803</v>
      </c>
      <c r="G209">
        <v>15.38</v>
      </c>
      <c r="I209" t="s">
        <v>804</v>
      </c>
      <c r="K209">
        <v>12.205</v>
      </c>
    </row>
    <row r="210" spans="1:11">
      <c r="A210" t="s">
        <v>805</v>
      </c>
      <c r="B210">
        <v>14.95</v>
      </c>
      <c r="E210" t="s">
        <v>806</v>
      </c>
      <c r="G210">
        <v>15.26</v>
      </c>
      <c r="I210" t="s">
        <v>807</v>
      </c>
      <c r="K210">
        <v>12.1166666666666</v>
      </c>
    </row>
    <row r="211" spans="1:11">
      <c r="A211" t="s">
        <v>753</v>
      </c>
      <c r="B211">
        <v>14.93</v>
      </c>
      <c r="E211" t="s">
        <v>808</v>
      </c>
      <c r="G211">
        <v>15.2</v>
      </c>
      <c r="I211" t="s">
        <v>809</v>
      </c>
      <c r="K211">
        <v>12</v>
      </c>
    </row>
    <row r="212" spans="1:11">
      <c r="A212" t="s">
        <v>810</v>
      </c>
      <c r="B212">
        <v>14.887499999999999</v>
      </c>
      <c r="E212" t="s">
        <v>585</v>
      </c>
      <c r="G212">
        <v>15.191666666666601</v>
      </c>
      <c r="I212" t="s">
        <v>811</v>
      </c>
      <c r="K212">
        <v>11.969565217391301</v>
      </c>
    </row>
    <row r="213" spans="1:11">
      <c r="A213" t="s">
        <v>812</v>
      </c>
      <c r="B213">
        <v>14.881818181818099</v>
      </c>
      <c r="E213" t="s">
        <v>813</v>
      </c>
      <c r="G213">
        <v>14.958823529411699</v>
      </c>
      <c r="I213" t="s">
        <v>814</v>
      </c>
      <c r="K213">
        <v>11.94</v>
      </c>
    </row>
    <row r="214" spans="1:11">
      <c r="A214" t="s">
        <v>815</v>
      </c>
      <c r="B214">
        <v>14.87</v>
      </c>
      <c r="E214" t="s">
        <v>816</v>
      </c>
      <c r="G214">
        <v>14.9</v>
      </c>
      <c r="I214" t="s">
        <v>817</v>
      </c>
      <c r="K214">
        <v>11.8823529411764</v>
      </c>
    </row>
    <row r="215" spans="1:11">
      <c r="A215" t="s">
        <v>818</v>
      </c>
      <c r="B215">
        <v>14.675000000000001</v>
      </c>
      <c r="E215" t="s">
        <v>819</v>
      </c>
      <c r="G215">
        <v>14.89</v>
      </c>
      <c r="I215" t="s">
        <v>820</v>
      </c>
      <c r="K215">
        <v>11.5695652173913</v>
      </c>
    </row>
    <row r="216" spans="1:11">
      <c r="A216" t="s">
        <v>821</v>
      </c>
      <c r="B216">
        <v>14.6571428571428</v>
      </c>
      <c r="E216" t="s">
        <v>822</v>
      </c>
      <c r="G216">
        <v>14.79</v>
      </c>
      <c r="I216" t="s">
        <v>823</v>
      </c>
      <c r="K216">
        <v>11.54</v>
      </c>
    </row>
    <row r="217" spans="1:11">
      <c r="A217" t="s">
        <v>824</v>
      </c>
      <c r="B217">
        <v>14.6</v>
      </c>
      <c r="E217" t="s">
        <v>825</v>
      </c>
      <c r="G217">
        <v>14.669230769230699</v>
      </c>
      <c r="I217" t="s">
        <v>826</v>
      </c>
      <c r="K217">
        <v>11.5296296296296</v>
      </c>
    </row>
    <row r="218" spans="1:11">
      <c r="A218" t="s">
        <v>827</v>
      </c>
      <c r="B218">
        <v>14.545454545454501</v>
      </c>
      <c r="E218" t="s">
        <v>828</v>
      </c>
      <c r="G218">
        <v>14.5</v>
      </c>
      <c r="I218" t="s">
        <v>829</v>
      </c>
      <c r="K218">
        <v>11.445454545454499</v>
      </c>
    </row>
    <row r="219" spans="1:11">
      <c r="A219" t="s">
        <v>620</v>
      </c>
      <c r="B219">
        <v>14.4166666666666</v>
      </c>
      <c r="E219" t="s">
        <v>830</v>
      </c>
      <c r="G219">
        <v>14.2347826086956</v>
      </c>
      <c r="I219" t="s">
        <v>831</v>
      </c>
      <c r="K219">
        <v>11.425000000000001</v>
      </c>
    </row>
    <row r="220" spans="1:11">
      <c r="A220" t="s">
        <v>832</v>
      </c>
      <c r="B220">
        <v>14.331578947368399</v>
      </c>
      <c r="E220" t="s">
        <v>833</v>
      </c>
      <c r="G220">
        <v>14.022222222222201</v>
      </c>
      <c r="I220" t="s">
        <v>834</v>
      </c>
      <c r="K220">
        <v>11.42</v>
      </c>
    </row>
    <row r="221" spans="1:11">
      <c r="A221" t="s">
        <v>835</v>
      </c>
      <c r="B221">
        <v>14.294117647058799</v>
      </c>
      <c r="E221" t="s">
        <v>836</v>
      </c>
      <c r="G221">
        <v>13.775</v>
      </c>
      <c r="I221" t="s">
        <v>837</v>
      </c>
      <c r="K221">
        <v>11.3878787878787</v>
      </c>
    </row>
    <row r="222" spans="1:11">
      <c r="A222" t="s">
        <v>838</v>
      </c>
      <c r="B222">
        <v>14.2</v>
      </c>
      <c r="E222" t="s">
        <v>839</v>
      </c>
      <c r="G222">
        <v>13.5894736842105</v>
      </c>
      <c r="I222" t="s">
        <v>840</v>
      </c>
      <c r="K222">
        <v>11.24</v>
      </c>
    </row>
    <row r="223" spans="1:11">
      <c r="A223" t="s">
        <v>841</v>
      </c>
      <c r="B223">
        <v>13.9333333333333</v>
      </c>
      <c r="E223" t="s">
        <v>842</v>
      </c>
      <c r="G223">
        <v>13.56</v>
      </c>
      <c r="I223" t="s">
        <v>843</v>
      </c>
      <c r="K223">
        <v>11.2</v>
      </c>
    </row>
    <row r="224" spans="1:11">
      <c r="A224" t="s">
        <v>844</v>
      </c>
      <c r="B224">
        <v>13.785</v>
      </c>
      <c r="E224" t="s">
        <v>845</v>
      </c>
      <c r="G224">
        <v>13.4958333333333</v>
      </c>
      <c r="I224" t="s">
        <v>846</v>
      </c>
      <c r="K224">
        <v>11.074074074074</v>
      </c>
    </row>
    <row r="225" spans="1:11">
      <c r="A225" t="s">
        <v>847</v>
      </c>
      <c r="B225">
        <v>13.7</v>
      </c>
      <c r="E225" t="s">
        <v>848</v>
      </c>
      <c r="G225">
        <v>13.468181818181799</v>
      </c>
      <c r="I225" t="s">
        <v>849</v>
      </c>
      <c r="K225">
        <v>10.9333333333333</v>
      </c>
    </row>
    <row r="226" spans="1:11">
      <c r="A226" t="s">
        <v>850</v>
      </c>
      <c r="B226">
        <v>13.545454545454501</v>
      </c>
      <c r="E226" t="s">
        <v>851</v>
      </c>
      <c r="G226">
        <v>13.33</v>
      </c>
      <c r="I226" t="s">
        <v>852</v>
      </c>
      <c r="K226">
        <v>10.573076923076901</v>
      </c>
    </row>
    <row r="227" spans="1:11">
      <c r="A227" t="s">
        <v>853</v>
      </c>
      <c r="B227">
        <v>13.4181818181818</v>
      </c>
      <c r="E227" t="s">
        <v>854</v>
      </c>
      <c r="G227">
        <v>13.2416666666666</v>
      </c>
      <c r="I227" t="s">
        <v>855</v>
      </c>
      <c r="K227">
        <v>10.4482758620689</v>
      </c>
    </row>
    <row r="228" spans="1:11">
      <c r="A228" t="s">
        <v>856</v>
      </c>
      <c r="B228">
        <v>13.3565217391304</v>
      </c>
      <c r="E228" t="s">
        <v>857</v>
      </c>
      <c r="G228">
        <v>13.15</v>
      </c>
      <c r="I228" t="s">
        <v>858</v>
      </c>
      <c r="K228">
        <v>10.328571428571401</v>
      </c>
    </row>
    <row r="229" spans="1:11">
      <c r="A229" t="s">
        <v>859</v>
      </c>
      <c r="B229">
        <v>13.290909090909</v>
      </c>
      <c r="E229" t="s">
        <v>860</v>
      </c>
      <c r="G229">
        <v>13.12</v>
      </c>
      <c r="I229" t="s">
        <v>861</v>
      </c>
      <c r="K229">
        <v>10.3</v>
      </c>
    </row>
    <row r="230" spans="1:11">
      <c r="A230" t="s">
        <v>862</v>
      </c>
      <c r="B230">
        <v>13.2555555555555</v>
      </c>
      <c r="E230" t="s">
        <v>863</v>
      </c>
      <c r="G230">
        <v>13.1</v>
      </c>
      <c r="I230" t="s">
        <v>864</v>
      </c>
      <c r="K230">
        <v>10.121428571428501</v>
      </c>
    </row>
    <row r="231" spans="1:11">
      <c r="A231" t="s">
        <v>865</v>
      </c>
      <c r="B231">
        <v>13.176923076923</v>
      </c>
      <c r="E231" t="s">
        <v>866</v>
      </c>
      <c r="G231">
        <v>13.1</v>
      </c>
      <c r="I231" t="s">
        <v>867</v>
      </c>
      <c r="K231">
        <v>10.1181818181818</v>
      </c>
    </row>
    <row r="232" spans="1:11">
      <c r="A232" t="s">
        <v>868</v>
      </c>
      <c r="B232">
        <v>13.06</v>
      </c>
      <c r="E232" t="s">
        <v>869</v>
      </c>
      <c r="G232">
        <v>13.092000000000001</v>
      </c>
      <c r="I232" t="s">
        <v>870</v>
      </c>
      <c r="K232">
        <v>10.115</v>
      </c>
    </row>
    <row r="233" spans="1:11">
      <c r="A233" t="s">
        <v>871</v>
      </c>
      <c r="B233">
        <v>13</v>
      </c>
      <c r="E233" t="s">
        <v>872</v>
      </c>
      <c r="G233">
        <v>13.0875</v>
      </c>
      <c r="I233" t="s">
        <v>311</v>
      </c>
      <c r="K233">
        <v>10.066666666666601</v>
      </c>
    </row>
    <row r="234" spans="1:11">
      <c r="A234" t="s">
        <v>873</v>
      </c>
      <c r="B234">
        <v>12.96</v>
      </c>
      <c r="E234" t="s">
        <v>874</v>
      </c>
      <c r="G234">
        <v>13</v>
      </c>
      <c r="I234" t="s">
        <v>875</v>
      </c>
      <c r="K234">
        <v>9.8823529411764692</v>
      </c>
    </row>
    <row r="235" spans="1:11">
      <c r="A235" t="s">
        <v>876</v>
      </c>
      <c r="B235">
        <v>12.8764705882352</v>
      </c>
      <c r="E235" t="s">
        <v>877</v>
      </c>
      <c r="G235">
        <v>12.966666666666599</v>
      </c>
      <c r="I235" t="s">
        <v>878</v>
      </c>
      <c r="K235">
        <v>9.8347826086956491</v>
      </c>
    </row>
    <row r="236" spans="1:11">
      <c r="A236" t="s">
        <v>879</v>
      </c>
      <c r="B236">
        <v>12.65</v>
      </c>
      <c r="E236" t="s">
        <v>880</v>
      </c>
      <c r="G236">
        <v>12.8</v>
      </c>
      <c r="I236" t="s">
        <v>881</v>
      </c>
      <c r="K236">
        <v>9.8142857142857096</v>
      </c>
    </row>
    <row r="237" spans="1:11">
      <c r="A237" t="s">
        <v>882</v>
      </c>
      <c r="B237">
        <v>12.478947368421</v>
      </c>
      <c r="E237" t="s">
        <v>698</v>
      </c>
      <c r="G237">
        <v>12.7818181818181</v>
      </c>
      <c r="I237" t="s">
        <v>883</v>
      </c>
      <c r="K237">
        <v>9.7235294117646998</v>
      </c>
    </row>
    <row r="238" spans="1:11">
      <c r="A238" t="s">
        <v>884</v>
      </c>
      <c r="B238">
        <v>12.463636363636301</v>
      </c>
      <c r="E238" t="s">
        <v>885</v>
      </c>
      <c r="G238">
        <v>12.633333333333301</v>
      </c>
      <c r="I238" t="s">
        <v>886</v>
      </c>
      <c r="K238">
        <v>9.6</v>
      </c>
    </row>
    <row r="239" spans="1:11">
      <c r="A239" t="s">
        <v>887</v>
      </c>
      <c r="B239">
        <v>12.455</v>
      </c>
      <c r="E239" t="s">
        <v>888</v>
      </c>
      <c r="G239">
        <v>12.5</v>
      </c>
      <c r="I239" t="s">
        <v>889</v>
      </c>
      <c r="K239">
        <v>9.5714285714285694</v>
      </c>
    </row>
    <row r="240" spans="1:11">
      <c r="A240" t="s">
        <v>890</v>
      </c>
      <c r="B240">
        <v>12.45</v>
      </c>
      <c r="E240" t="s">
        <v>891</v>
      </c>
      <c r="G240">
        <v>12.465</v>
      </c>
      <c r="I240" t="s">
        <v>892</v>
      </c>
      <c r="K240">
        <v>9.5259259259259199</v>
      </c>
    </row>
    <row r="241" spans="1:11">
      <c r="A241" t="s">
        <v>893</v>
      </c>
      <c r="B241">
        <v>12.45</v>
      </c>
      <c r="E241" t="s">
        <v>894</v>
      </c>
      <c r="G241">
        <v>12.4583333333333</v>
      </c>
      <c r="I241" t="s">
        <v>895</v>
      </c>
      <c r="K241">
        <v>9.5130434782608706</v>
      </c>
    </row>
    <row r="242" spans="1:11">
      <c r="A242" t="s">
        <v>896</v>
      </c>
      <c r="B242">
        <v>12.363636363636299</v>
      </c>
      <c r="E242" t="s">
        <v>897</v>
      </c>
      <c r="G242">
        <v>12.45</v>
      </c>
      <c r="I242" t="s">
        <v>898</v>
      </c>
      <c r="K242">
        <v>9.1269230769230703</v>
      </c>
    </row>
    <row r="243" spans="1:11">
      <c r="A243" t="s">
        <v>899</v>
      </c>
      <c r="B243">
        <v>12.2666666666666</v>
      </c>
      <c r="E243" t="s">
        <v>900</v>
      </c>
      <c r="G243">
        <v>12.2666666666666</v>
      </c>
      <c r="I243" t="s">
        <v>901</v>
      </c>
      <c r="K243">
        <v>8.9499999999999993</v>
      </c>
    </row>
    <row r="244" spans="1:11">
      <c r="A244" t="s">
        <v>902</v>
      </c>
      <c r="B244">
        <v>12.078571428571401</v>
      </c>
      <c r="E244" t="s">
        <v>903</v>
      </c>
      <c r="G244">
        <v>12.216666666666599</v>
      </c>
      <c r="I244" t="s">
        <v>904</v>
      </c>
      <c r="K244">
        <v>8.92916666666666</v>
      </c>
    </row>
    <row r="245" spans="1:11">
      <c r="A245" t="s">
        <v>905</v>
      </c>
      <c r="B245">
        <v>11.95</v>
      </c>
      <c r="E245" t="s">
        <v>906</v>
      </c>
      <c r="G245">
        <v>12.188000000000001</v>
      </c>
      <c r="I245" t="s">
        <v>907</v>
      </c>
      <c r="K245">
        <v>8.87222222222222</v>
      </c>
    </row>
    <row r="246" spans="1:11">
      <c r="A246" t="s">
        <v>908</v>
      </c>
      <c r="B246">
        <v>11.8727272727272</v>
      </c>
      <c r="E246" t="s">
        <v>909</v>
      </c>
      <c r="G246">
        <v>12.1666666666666</v>
      </c>
      <c r="I246" t="s">
        <v>910</v>
      </c>
      <c r="K246">
        <v>8.8714285714285701</v>
      </c>
    </row>
    <row r="247" spans="1:11">
      <c r="A247" t="s">
        <v>911</v>
      </c>
      <c r="B247">
        <v>11.86</v>
      </c>
      <c r="E247" t="s">
        <v>912</v>
      </c>
      <c r="G247">
        <v>11.9296296296296</v>
      </c>
      <c r="I247" t="s">
        <v>913</v>
      </c>
      <c r="K247">
        <v>8.6692307692307597</v>
      </c>
    </row>
    <row r="248" spans="1:11">
      <c r="A248" t="s">
        <v>914</v>
      </c>
      <c r="B248">
        <v>11.775</v>
      </c>
      <c r="E248" t="s">
        <v>915</v>
      </c>
      <c r="G248">
        <v>11.85</v>
      </c>
      <c r="I248" t="s">
        <v>916</v>
      </c>
      <c r="K248">
        <v>8.61666666666666</v>
      </c>
    </row>
    <row r="249" spans="1:11">
      <c r="A249" t="s">
        <v>917</v>
      </c>
      <c r="B249">
        <v>11.453333333333299</v>
      </c>
      <c r="E249" t="s">
        <v>918</v>
      </c>
      <c r="G249">
        <v>11.8466666666666</v>
      </c>
      <c r="I249" t="s">
        <v>919</v>
      </c>
      <c r="K249">
        <v>8.5250000000000004</v>
      </c>
    </row>
    <row r="250" spans="1:11">
      <c r="A250" t="s">
        <v>920</v>
      </c>
      <c r="B250">
        <v>11.269230769230701</v>
      </c>
      <c r="E250" t="s">
        <v>921</v>
      </c>
      <c r="G250">
        <v>11.824999999999999</v>
      </c>
      <c r="I250" t="s">
        <v>922</v>
      </c>
      <c r="K250">
        <v>8.2249999999999996</v>
      </c>
    </row>
    <row r="251" spans="1:11">
      <c r="A251" t="s">
        <v>923</v>
      </c>
      <c r="B251">
        <v>11.2105263157894</v>
      </c>
      <c r="E251" t="s">
        <v>924</v>
      </c>
      <c r="G251">
        <v>11.6</v>
      </c>
      <c r="I251" t="s">
        <v>925</v>
      </c>
      <c r="K251">
        <v>8.0625</v>
      </c>
    </row>
    <row r="252" spans="1:11">
      <c r="A252" t="s">
        <v>926</v>
      </c>
      <c r="B252">
        <v>11.18</v>
      </c>
      <c r="E252" t="s">
        <v>927</v>
      </c>
      <c r="G252">
        <v>11.57</v>
      </c>
      <c r="I252" t="s">
        <v>928</v>
      </c>
      <c r="K252">
        <v>7.875</v>
      </c>
    </row>
    <row r="253" spans="1:11">
      <c r="A253" t="s">
        <v>929</v>
      </c>
      <c r="B253">
        <v>11.066666666666601</v>
      </c>
      <c r="E253" t="s">
        <v>930</v>
      </c>
      <c r="G253">
        <v>11.481818181818101</v>
      </c>
      <c r="I253" t="s">
        <v>931</v>
      </c>
      <c r="K253">
        <v>7.8352941176470496</v>
      </c>
    </row>
    <row r="254" spans="1:11">
      <c r="A254" t="s">
        <v>932</v>
      </c>
      <c r="B254">
        <v>11.027272727272701</v>
      </c>
      <c r="E254" t="s">
        <v>933</v>
      </c>
      <c r="G254">
        <v>11.44</v>
      </c>
      <c r="I254" t="s">
        <v>934</v>
      </c>
      <c r="K254">
        <v>7.7818181818181804</v>
      </c>
    </row>
    <row r="255" spans="1:11">
      <c r="A255" t="s">
        <v>935</v>
      </c>
      <c r="B255">
        <v>11</v>
      </c>
      <c r="E255" t="s">
        <v>936</v>
      </c>
      <c r="G255">
        <v>11.05</v>
      </c>
      <c r="I255" t="s">
        <v>937</v>
      </c>
      <c r="K255">
        <v>7.5466666666666598</v>
      </c>
    </row>
    <row r="256" spans="1:11">
      <c r="A256" t="s">
        <v>915</v>
      </c>
      <c r="B256">
        <v>10.9722222222222</v>
      </c>
      <c r="E256" t="s">
        <v>938</v>
      </c>
      <c r="G256">
        <v>10.9375</v>
      </c>
      <c r="I256" t="s">
        <v>939</v>
      </c>
      <c r="K256">
        <v>7.4</v>
      </c>
    </row>
    <row r="257" spans="1:11">
      <c r="A257" t="s">
        <v>940</v>
      </c>
      <c r="B257">
        <v>10.9583333333333</v>
      </c>
      <c r="E257" t="s">
        <v>941</v>
      </c>
      <c r="G257">
        <v>10.911111111111101</v>
      </c>
      <c r="I257" t="s">
        <v>942</v>
      </c>
      <c r="K257">
        <v>7.35</v>
      </c>
    </row>
    <row r="258" spans="1:11">
      <c r="A258" t="s">
        <v>943</v>
      </c>
      <c r="B258">
        <v>10.7384615384615</v>
      </c>
      <c r="E258" t="s">
        <v>944</v>
      </c>
      <c r="G258">
        <v>10.84</v>
      </c>
      <c r="I258" t="s">
        <v>945</v>
      </c>
      <c r="K258">
        <v>7.3333333333333304</v>
      </c>
    </row>
    <row r="259" spans="1:11">
      <c r="A259" t="s">
        <v>946</v>
      </c>
      <c r="B259">
        <v>10.45</v>
      </c>
      <c r="E259" t="s">
        <v>947</v>
      </c>
      <c r="G259">
        <v>10.7666666666666</v>
      </c>
      <c r="I259" t="s">
        <v>948</v>
      </c>
      <c r="K259">
        <v>7.2</v>
      </c>
    </row>
    <row r="260" spans="1:11">
      <c r="A260" t="s">
        <v>949</v>
      </c>
      <c r="B260">
        <v>10.3954545454545</v>
      </c>
      <c r="E260" t="s">
        <v>809</v>
      </c>
      <c r="G260">
        <v>10.736842105263101</v>
      </c>
      <c r="I260" t="s">
        <v>950</v>
      </c>
      <c r="K260">
        <v>7.0235294117646996</v>
      </c>
    </row>
    <row r="261" spans="1:11">
      <c r="A261" t="s">
        <v>951</v>
      </c>
      <c r="B261">
        <v>10.3</v>
      </c>
      <c r="E261" t="s">
        <v>952</v>
      </c>
      <c r="G261">
        <v>10.73</v>
      </c>
      <c r="I261" t="s">
        <v>953</v>
      </c>
      <c r="K261">
        <v>7.0086956521739099</v>
      </c>
    </row>
    <row r="262" spans="1:11">
      <c r="A262" t="s">
        <v>954</v>
      </c>
      <c r="B262">
        <v>10.25</v>
      </c>
      <c r="E262" t="s">
        <v>946</v>
      </c>
      <c r="G262">
        <v>10.7</v>
      </c>
      <c r="I262" t="s">
        <v>955</v>
      </c>
      <c r="K262">
        <v>7</v>
      </c>
    </row>
    <row r="263" spans="1:11">
      <c r="A263" t="s">
        <v>956</v>
      </c>
      <c r="B263">
        <v>10.06</v>
      </c>
      <c r="E263" t="s">
        <v>852</v>
      </c>
      <c r="G263">
        <v>10.390909090909</v>
      </c>
      <c r="I263" t="s">
        <v>671</v>
      </c>
      <c r="K263">
        <v>6.9785714285714198</v>
      </c>
    </row>
    <row r="264" spans="1:11">
      <c r="A264" t="s">
        <v>957</v>
      </c>
      <c r="B264">
        <v>9.9600000000000009</v>
      </c>
      <c r="E264" t="s">
        <v>958</v>
      </c>
      <c r="G264">
        <v>10.35</v>
      </c>
      <c r="I264" t="s">
        <v>959</v>
      </c>
      <c r="K264">
        <v>6.95</v>
      </c>
    </row>
    <row r="265" spans="1:11">
      <c r="A265" t="s">
        <v>960</v>
      </c>
      <c r="B265">
        <v>9.9521739130434703</v>
      </c>
      <c r="E265" t="s">
        <v>961</v>
      </c>
      <c r="G265">
        <v>10.27</v>
      </c>
      <c r="I265" t="s">
        <v>962</v>
      </c>
      <c r="K265">
        <v>6.9</v>
      </c>
    </row>
    <row r="266" spans="1:11">
      <c r="A266" t="s">
        <v>963</v>
      </c>
      <c r="B266">
        <v>9.9499999999999993</v>
      </c>
      <c r="E266" t="s">
        <v>893</v>
      </c>
      <c r="G266">
        <v>10.188000000000001</v>
      </c>
      <c r="I266" t="s">
        <v>964</v>
      </c>
      <c r="K266">
        <v>6.86</v>
      </c>
    </row>
    <row r="267" spans="1:11">
      <c r="A267" t="s">
        <v>965</v>
      </c>
      <c r="B267">
        <v>9.93333333333333</v>
      </c>
      <c r="E267" t="s">
        <v>966</v>
      </c>
      <c r="G267">
        <v>10.0888888888888</v>
      </c>
      <c r="I267" t="s">
        <v>967</v>
      </c>
      <c r="K267">
        <v>6.8</v>
      </c>
    </row>
    <row r="268" spans="1:11">
      <c r="A268" t="s">
        <v>968</v>
      </c>
      <c r="B268">
        <v>9.9</v>
      </c>
      <c r="E268" t="s">
        <v>969</v>
      </c>
      <c r="G268">
        <v>10.0375</v>
      </c>
      <c r="I268" t="s">
        <v>970</v>
      </c>
      <c r="K268">
        <v>6.64</v>
      </c>
    </row>
    <row r="269" spans="1:11">
      <c r="A269" t="s">
        <v>971</v>
      </c>
      <c r="B269">
        <v>9.8333333333333304</v>
      </c>
      <c r="E269" t="s">
        <v>972</v>
      </c>
      <c r="G269">
        <v>10</v>
      </c>
      <c r="I269" t="s">
        <v>973</v>
      </c>
      <c r="K269">
        <v>6.3545454545454501</v>
      </c>
    </row>
    <row r="270" spans="1:11">
      <c r="A270" t="s">
        <v>974</v>
      </c>
      <c r="B270">
        <v>9.6666666666666607</v>
      </c>
      <c r="E270" t="s">
        <v>975</v>
      </c>
      <c r="G270">
        <v>10</v>
      </c>
      <c r="I270" t="s">
        <v>976</v>
      </c>
      <c r="K270">
        <v>5.74</v>
      </c>
    </row>
    <row r="271" spans="1:11">
      <c r="A271" t="s">
        <v>977</v>
      </c>
      <c r="B271">
        <v>9.6333333333333293</v>
      </c>
      <c r="E271" t="s">
        <v>978</v>
      </c>
      <c r="G271">
        <v>9.98888888888888</v>
      </c>
      <c r="I271" t="s">
        <v>979</v>
      </c>
      <c r="K271">
        <v>5.5</v>
      </c>
    </row>
    <row r="272" spans="1:11">
      <c r="A272" t="s">
        <v>980</v>
      </c>
      <c r="B272">
        <v>9.5</v>
      </c>
      <c r="E272" t="s">
        <v>981</v>
      </c>
      <c r="G272">
        <v>9.98</v>
      </c>
      <c r="I272" t="s">
        <v>720</v>
      </c>
      <c r="K272">
        <v>5.35</v>
      </c>
    </row>
    <row r="273" spans="1:11">
      <c r="A273" t="s">
        <v>982</v>
      </c>
      <c r="B273">
        <v>9.43333333333333</v>
      </c>
      <c r="E273" t="s">
        <v>983</v>
      </c>
      <c r="G273">
        <v>9.92</v>
      </c>
      <c r="I273" t="s">
        <v>984</v>
      </c>
      <c r="K273">
        <v>5.1666666666666599</v>
      </c>
    </row>
    <row r="274" spans="1:11">
      <c r="A274" t="s">
        <v>985</v>
      </c>
      <c r="B274">
        <v>9.3555555555555507</v>
      </c>
      <c r="E274" t="s">
        <v>986</v>
      </c>
      <c r="G274">
        <v>9.8444444444444397</v>
      </c>
      <c r="I274" t="s">
        <v>869</v>
      </c>
      <c r="K274">
        <v>4.7374999999999998</v>
      </c>
    </row>
    <row r="275" spans="1:11">
      <c r="A275" t="s">
        <v>987</v>
      </c>
      <c r="B275">
        <v>9.3000000000000007</v>
      </c>
      <c r="E275" t="s">
        <v>988</v>
      </c>
      <c r="G275">
        <v>9.8142857142857096</v>
      </c>
      <c r="I275" t="s">
        <v>989</v>
      </c>
      <c r="K275">
        <v>4.4800000000000004</v>
      </c>
    </row>
    <row r="276" spans="1:11">
      <c r="A276" t="s">
        <v>990</v>
      </c>
      <c r="B276">
        <v>9.2666666666666604</v>
      </c>
      <c r="E276" t="s">
        <v>991</v>
      </c>
      <c r="G276">
        <v>9.8000000000000007</v>
      </c>
      <c r="I276" t="s">
        <v>992</v>
      </c>
      <c r="K276">
        <v>4.4166666666666599</v>
      </c>
    </row>
    <row r="277" spans="1:11">
      <c r="A277" t="s">
        <v>993</v>
      </c>
      <c r="B277">
        <v>9.2052631578947306</v>
      </c>
      <c r="E277" t="s">
        <v>994</v>
      </c>
      <c r="G277">
        <v>9.7636363636363601</v>
      </c>
      <c r="I277" t="s">
        <v>995</v>
      </c>
      <c r="K277">
        <v>4.3538461538461499</v>
      </c>
    </row>
    <row r="278" spans="1:11">
      <c r="A278" t="s">
        <v>996</v>
      </c>
      <c r="B278">
        <v>9.1571428571428495</v>
      </c>
      <c r="E278" t="s">
        <v>997</v>
      </c>
      <c r="G278">
        <v>9.6444444444444404</v>
      </c>
      <c r="I278" t="s">
        <v>998</v>
      </c>
      <c r="K278">
        <v>4.2666666666666604</v>
      </c>
    </row>
    <row r="279" spans="1:11">
      <c r="A279" t="s">
        <v>999</v>
      </c>
      <c r="B279">
        <v>9.0416666666666607</v>
      </c>
      <c r="E279" t="s">
        <v>1000</v>
      </c>
      <c r="G279">
        <v>9.6</v>
      </c>
      <c r="I279" t="s">
        <v>1001</v>
      </c>
      <c r="K279">
        <v>4.25</v>
      </c>
    </row>
    <row r="280" spans="1:11">
      <c r="A280" t="s">
        <v>1002</v>
      </c>
      <c r="B280">
        <v>8.7909090909090892</v>
      </c>
      <c r="E280" t="s">
        <v>1003</v>
      </c>
      <c r="G280">
        <v>9.4315789473684202</v>
      </c>
      <c r="I280" t="s">
        <v>1004</v>
      </c>
      <c r="K280">
        <v>4.0999999999999996</v>
      </c>
    </row>
    <row r="281" spans="1:11">
      <c r="A281" t="s">
        <v>1005</v>
      </c>
      <c r="B281">
        <v>8.6999999999999993</v>
      </c>
      <c r="E281" t="s">
        <v>1006</v>
      </c>
      <c r="G281">
        <v>9.4222222222222207</v>
      </c>
      <c r="I281" t="s">
        <v>1007</v>
      </c>
      <c r="K281">
        <v>3.7833333333333301</v>
      </c>
    </row>
    <row r="282" spans="1:11">
      <c r="A282" t="s">
        <v>1008</v>
      </c>
      <c r="B282">
        <v>8.65</v>
      </c>
      <c r="E282" t="s">
        <v>1009</v>
      </c>
      <c r="G282">
        <v>9.34</v>
      </c>
      <c r="I282" t="s">
        <v>1010</v>
      </c>
      <c r="K282">
        <v>3.55</v>
      </c>
    </row>
    <row r="283" spans="1:11">
      <c r="A283" t="s">
        <v>1011</v>
      </c>
      <c r="B283">
        <v>8.42</v>
      </c>
      <c r="E283" t="s">
        <v>1012</v>
      </c>
      <c r="G283">
        <v>9.1857142857142797</v>
      </c>
      <c r="I283" t="s">
        <v>1013</v>
      </c>
      <c r="K283">
        <v>3.45</v>
      </c>
    </row>
    <row r="284" spans="1:11">
      <c r="A284" t="s">
        <v>1014</v>
      </c>
      <c r="B284">
        <v>8.35</v>
      </c>
      <c r="E284" t="s">
        <v>1015</v>
      </c>
      <c r="G284">
        <v>9.1666666666666607</v>
      </c>
      <c r="I284" t="s">
        <v>1016</v>
      </c>
      <c r="K284">
        <v>3.2333333333333298</v>
      </c>
    </row>
    <row r="285" spans="1:11">
      <c r="A285" t="s">
        <v>1017</v>
      </c>
      <c r="B285">
        <v>8.2083333333333304</v>
      </c>
      <c r="E285" t="s">
        <v>1018</v>
      </c>
      <c r="G285">
        <v>9.0210526315789394</v>
      </c>
      <c r="I285" t="s">
        <v>1019</v>
      </c>
      <c r="K285">
        <v>3.125</v>
      </c>
    </row>
    <row r="286" spans="1:11">
      <c r="A286" t="s">
        <v>1020</v>
      </c>
      <c r="B286">
        <v>7.7294117647058798</v>
      </c>
      <c r="E286" t="s">
        <v>1021</v>
      </c>
      <c r="G286">
        <v>8.9857142857142804</v>
      </c>
      <c r="I286" t="s">
        <v>1022</v>
      </c>
      <c r="K286">
        <v>2.95</v>
      </c>
    </row>
    <row r="287" spans="1:11">
      <c r="A287" t="s">
        <v>1023</v>
      </c>
      <c r="B287">
        <v>7.7230769230769196</v>
      </c>
      <c r="E287" t="s">
        <v>1024</v>
      </c>
      <c r="G287">
        <v>8.98</v>
      </c>
      <c r="I287" t="s">
        <v>1025</v>
      </c>
      <c r="K287">
        <v>2.8</v>
      </c>
    </row>
    <row r="288" spans="1:11">
      <c r="A288" t="s">
        <v>1026</v>
      </c>
      <c r="B288">
        <v>7.6</v>
      </c>
      <c r="E288" t="s">
        <v>1027</v>
      </c>
      <c r="G288">
        <v>8.9294117647058808</v>
      </c>
      <c r="I288" t="s">
        <v>1028</v>
      </c>
      <c r="K288">
        <v>2.65</v>
      </c>
    </row>
    <row r="289" spans="1:11">
      <c r="A289" t="s">
        <v>623</v>
      </c>
      <c r="B289">
        <v>7.6</v>
      </c>
      <c r="E289" t="s">
        <v>1029</v>
      </c>
      <c r="G289">
        <v>8.8733333333333295</v>
      </c>
      <c r="I289" t="s">
        <v>1030</v>
      </c>
      <c r="K289">
        <v>2.4</v>
      </c>
    </row>
    <row r="290" spans="1:11">
      <c r="A290" t="s">
        <v>1031</v>
      </c>
      <c r="B290">
        <v>7.5</v>
      </c>
      <c r="E290" t="s">
        <v>1032</v>
      </c>
      <c r="G290">
        <v>8.8428571428571399</v>
      </c>
      <c r="I290" t="s">
        <v>1033</v>
      </c>
      <c r="K290">
        <v>2.3333333333333299</v>
      </c>
    </row>
    <row r="291" spans="1:11">
      <c r="A291" t="s">
        <v>1034</v>
      </c>
      <c r="B291">
        <v>7.5</v>
      </c>
      <c r="E291" t="s">
        <v>1035</v>
      </c>
      <c r="G291">
        <v>8.8416666666666597</v>
      </c>
      <c r="I291" t="s">
        <v>1036</v>
      </c>
      <c r="K291">
        <v>2.1</v>
      </c>
    </row>
    <row r="292" spans="1:11">
      <c r="A292" t="s">
        <v>1037</v>
      </c>
      <c r="B292">
        <v>7.2</v>
      </c>
      <c r="E292" t="s">
        <v>1038</v>
      </c>
      <c r="G292">
        <v>8.6333333333333293</v>
      </c>
      <c r="I292" t="s">
        <v>1039</v>
      </c>
      <c r="K292">
        <v>1.95</v>
      </c>
    </row>
    <row r="293" spans="1:11">
      <c r="A293" t="s">
        <v>1040</v>
      </c>
      <c r="B293">
        <v>7.2</v>
      </c>
      <c r="E293" t="s">
        <v>315</v>
      </c>
      <c r="G293">
        <v>8.6272727272727199</v>
      </c>
      <c r="I293" t="s">
        <v>1041</v>
      </c>
      <c r="K293">
        <v>1.56666666666666</v>
      </c>
    </row>
    <row r="294" spans="1:11">
      <c r="A294" t="s">
        <v>1042</v>
      </c>
      <c r="B294">
        <v>7.1416666666666604</v>
      </c>
      <c r="E294" t="s">
        <v>1043</v>
      </c>
      <c r="G294">
        <v>8.5500000000000007</v>
      </c>
      <c r="I294" t="s">
        <v>1044</v>
      </c>
      <c r="K294">
        <v>1.3</v>
      </c>
    </row>
    <row r="295" spans="1:11">
      <c r="A295" t="s">
        <v>1045</v>
      </c>
      <c r="B295">
        <v>7.0142857142857098</v>
      </c>
      <c r="E295" t="s">
        <v>1046</v>
      </c>
      <c r="G295">
        <v>8.4666666666666597</v>
      </c>
      <c r="I295" t="s">
        <v>1047</v>
      </c>
      <c r="K295">
        <v>1.25</v>
      </c>
    </row>
    <row r="296" spans="1:11">
      <c r="A296" t="s">
        <v>1048</v>
      </c>
      <c r="B296">
        <v>6.9666666666666597</v>
      </c>
      <c r="E296" t="s">
        <v>1049</v>
      </c>
      <c r="G296">
        <v>8.1999999999999993</v>
      </c>
      <c r="I296" t="s">
        <v>1050</v>
      </c>
      <c r="K296">
        <v>1.1000000000000001</v>
      </c>
    </row>
    <row r="297" spans="1:11">
      <c r="A297" t="s">
        <v>1051</v>
      </c>
      <c r="B297">
        <v>6.64</v>
      </c>
      <c r="E297" t="s">
        <v>1052</v>
      </c>
      <c r="G297">
        <v>8.08</v>
      </c>
      <c r="I297" t="s">
        <v>1053</v>
      </c>
      <c r="K297">
        <v>0.9</v>
      </c>
    </row>
    <row r="298" spans="1:11">
      <c r="A298" t="s">
        <v>1054</v>
      </c>
      <c r="B298">
        <v>6.5421052631578904</v>
      </c>
      <c r="E298" t="s">
        <v>1055</v>
      </c>
      <c r="G298">
        <v>8.0571428571428498</v>
      </c>
      <c r="I298" t="s">
        <v>1056</v>
      </c>
      <c r="K298">
        <v>0.53333333333333299</v>
      </c>
    </row>
    <row r="299" spans="1:11">
      <c r="A299" t="s">
        <v>1057</v>
      </c>
      <c r="B299">
        <v>6.4</v>
      </c>
      <c r="E299" t="s">
        <v>1058</v>
      </c>
      <c r="G299">
        <v>8.0454545454545396</v>
      </c>
    </row>
    <row r="300" spans="1:11">
      <c r="A300" t="s">
        <v>1059</v>
      </c>
      <c r="B300">
        <v>6.3333333333333304</v>
      </c>
      <c r="E300" t="s">
        <v>1060</v>
      </c>
      <c r="G300">
        <v>7.9</v>
      </c>
    </row>
    <row r="301" spans="1:11">
      <c r="A301" t="s">
        <v>1061</v>
      </c>
      <c r="B301">
        <v>6.18</v>
      </c>
      <c r="E301" t="s">
        <v>1062</v>
      </c>
      <c r="G301">
        <v>7.7</v>
      </c>
    </row>
    <row r="302" spans="1:11">
      <c r="A302" t="s">
        <v>1063</v>
      </c>
      <c r="B302">
        <v>6.0785714285714203</v>
      </c>
      <c r="E302" t="s">
        <v>1064</v>
      </c>
      <c r="G302">
        <v>7.6375000000000002</v>
      </c>
    </row>
    <row r="303" spans="1:11">
      <c r="A303" t="s">
        <v>1065</v>
      </c>
      <c r="B303">
        <v>5.93333333333333</v>
      </c>
      <c r="E303" t="s">
        <v>979</v>
      </c>
      <c r="G303">
        <v>7.4312500000000004</v>
      </c>
    </row>
    <row r="304" spans="1:11">
      <c r="A304" t="s">
        <v>1066</v>
      </c>
      <c r="B304">
        <v>5.5166666666666604</v>
      </c>
      <c r="E304" t="s">
        <v>1067</v>
      </c>
      <c r="G304">
        <v>7.4</v>
      </c>
    </row>
    <row r="305" spans="1:7">
      <c r="A305" t="s">
        <v>1068</v>
      </c>
      <c r="B305">
        <v>5.46875</v>
      </c>
      <c r="E305" t="s">
        <v>1069</v>
      </c>
      <c r="G305">
        <v>7.21428571428571</v>
      </c>
    </row>
    <row r="306" spans="1:7">
      <c r="A306" t="s">
        <v>941</v>
      </c>
      <c r="B306">
        <v>5.4</v>
      </c>
      <c r="E306" t="s">
        <v>1070</v>
      </c>
      <c r="G306">
        <v>7.1666666666666599</v>
      </c>
    </row>
    <row r="307" spans="1:7">
      <c r="A307" t="s">
        <v>389</v>
      </c>
      <c r="B307">
        <v>5.2</v>
      </c>
      <c r="E307" t="s">
        <v>1071</v>
      </c>
      <c r="G307">
        <v>7.0250000000000004</v>
      </c>
    </row>
    <row r="308" spans="1:7">
      <c r="A308" t="s">
        <v>1072</v>
      </c>
      <c r="B308">
        <v>5.2</v>
      </c>
      <c r="E308" t="s">
        <v>1073</v>
      </c>
      <c r="G308">
        <v>6.9833333333333298</v>
      </c>
    </row>
    <row r="309" spans="1:7">
      <c r="A309" t="s">
        <v>1074</v>
      </c>
      <c r="B309">
        <v>4.93333333333333</v>
      </c>
      <c r="E309" t="s">
        <v>1075</v>
      </c>
      <c r="G309">
        <v>6.95</v>
      </c>
    </row>
    <row r="310" spans="1:7">
      <c r="A310" t="s">
        <v>1076</v>
      </c>
      <c r="B310">
        <v>4.75</v>
      </c>
      <c r="E310" t="s">
        <v>1077</v>
      </c>
      <c r="G310">
        <v>6.7</v>
      </c>
    </row>
    <row r="311" spans="1:7">
      <c r="A311" t="s">
        <v>1078</v>
      </c>
      <c r="B311">
        <v>4</v>
      </c>
      <c r="E311" t="s">
        <v>1079</v>
      </c>
      <c r="G311">
        <v>6.6714285714285699</v>
      </c>
    </row>
    <row r="312" spans="1:7">
      <c r="A312" t="s">
        <v>1080</v>
      </c>
      <c r="B312">
        <v>4</v>
      </c>
      <c r="E312" t="s">
        <v>1081</v>
      </c>
      <c r="G312">
        <v>6.4571428571428502</v>
      </c>
    </row>
    <row r="313" spans="1:7">
      <c r="A313" t="s">
        <v>1082</v>
      </c>
      <c r="B313">
        <v>3.9</v>
      </c>
      <c r="E313" t="s">
        <v>1083</v>
      </c>
      <c r="G313">
        <v>6.2750000000000004</v>
      </c>
    </row>
    <row r="314" spans="1:7">
      <c r="A314" t="s">
        <v>1084</v>
      </c>
      <c r="B314">
        <v>3.8</v>
      </c>
      <c r="E314" t="s">
        <v>1085</v>
      </c>
      <c r="G314">
        <v>6.2666666666666604</v>
      </c>
    </row>
    <row r="315" spans="1:7">
      <c r="A315" t="s">
        <v>1086</v>
      </c>
      <c r="B315">
        <v>3.6</v>
      </c>
      <c r="E315" t="s">
        <v>1087</v>
      </c>
      <c r="G315">
        <v>5.9749999999999996</v>
      </c>
    </row>
    <row r="316" spans="1:7">
      <c r="A316" t="s">
        <v>1088</v>
      </c>
      <c r="B316">
        <v>3.2</v>
      </c>
      <c r="E316" t="s">
        <v>1089</v>
      </c>
      <c r="G316">
        <v>5.7882352941176398</v>
      </c>
    </row>
    <row r="317" spans="1:7">
      <c r="A317" t="s">
        <v>1090</v>
      </c>
      <c r="B317">
        <v>3</v>
      </c>
      <c r="E317" t="s">
        <v>895</v>
      </c>
      <c r="G317">
        <v>5.7333333333333298</v>
      </c>
    </row>
    <row r="318" spans="1:7">
      <c r="A318" t="s">
        <v>1091</v>
      </c>
      <c r="B318">
        <v>2.7333333333333298</v>
      </c>
      <c r="E318" t="s">
        <v>1092</v>
      </c>
      <c r="G318">
        <v>5.6666666666666599</v>
      </c>
    </row>
    <row r="319" spans="1:7">
      <c r="A319" t="s">
        <v>1093</v>
      </c>
      <c r="B319">
        <v>2.2000000000000002</v>
      </c>
      <c r="E319" t="s">
        <v>1094</v>
      </c>
      <c r="G319">
        <v>5.64</v>
      </c>
    </row>
    <row r="320" spans="1:7">
      <c r="A320" t="s">
        <v>1095</v>
      </c>
      <c r="B320">
        <v>2.2000000000000002</v>
      </c>
      <c r="E320" t="s">
        <v>1096</v>
      </c>
      <c r="G320">
        <v>5.55</v>
      </c>
    </row>
    <row r="321" spans="1:7">
      <c r="A321" t="s">
        <v>1097</v>
      </c>
      <c r="B321">
        <v>2.0666666666666602</v>
      </c>
      <c r="E321" t="s">
        <v>1098</v>
      </c>
      <c r="G321">
        <v>5.4749999999999996</v>
      </c>
    </row>
    <row r="322" spans="1:7">
      <c r="A322" t="s">
        <v>1099</v>
      </c>
      <c r="B322">
        <v>2</v>
      </c>
      <c r="E322" t="s">
        <v>1100</v>
      </c>
      <c r="G322">
        <v>5.4</v>
      </c>
    </row>
    <row r="323" spans="1:7">
      <c r="A323" t="s">
        <v>1101</v>
      </c>
      <c r="B323">
        <v>2</v>
      </c>
      <c r="E323" t="s">
        <v>1102</v>
      </c>
      <c r="G323">
        <v>5.3727272727272704</v>
      </c>
    </row>
    <row r="324" spans="1:7">
      <c r="A324" t="s">
        <v>1103</v>
      </c>
      <c r="B324">
        <v>2</v>
      </c>
      <c r="E324" t="s">
        <v>1104</v>
      </c>
      <c r="G324">
        <v>5.35</v>
      </c>
    </row>
    <row r="325" spans="1:7">
      <c r="A325" t="s">
        <v>1105</v>
      </c>
      <c r="B325">
        <v>1.7625</v>
      </c>
      <c r="E325" t="s">
        <v>1106</v>
      </c>
      <c r="G325">
        <v>5.3333333333333304</v>
      </c>
    </row>
    <row r="326" spans="1:7">
      <c r="A326" t="s">
        <v>1107</v>
      </c>
      <c r="B326">
        <v>1.6</v>
      </c>
      <c r="E326" t="s">
        <v>1108</v>
      </c>
      <c r="G326">
        <v>5.3250000000000002</v>
      </c>
    </row>
    <row r="327" spans="1:7">
      <c r="A327" t="s">
        <v>1109</v>
      </c>
      <c r="B327">
        <v>1.5</v>
      </c>
      <c r="E327" t="s">
        <v>1110</v>
      </c>
      <c r="G327">
        <v>5.2833333333333297</v>
      </c>
    </row>
    <row r="328" spans="1:7">
      <c r="A328" t="s">
        <v>1111</v>
      </c>
      <c r="B328">
        <v>1.31</v>
      </c>
      <c r="E328" t="s">
        <v>1112</v>
      </c>
      <c r="G328">
        <v>5.2333333333333298</v>
      </c>
    </row>
    <row r="329" spans="1:7">
      <c r="A329" t="s">
        <v>1113</v>
      </c>
      <c r="B329">
        <v>1.2</v>
      </c>
      <c r="E329" t="s">
        <v>1114</v>
      </c>
      <c r="G329">
        <v>5.08421052631578</v>
      </c>
    </row>
    <row r="330" spans="1:7">
      <c r="A330" t="s">
        <v>1115</v>
      </c>
      <c r="B330">
        <v>1.2</v>
      </c>
      <c r="E330" t="s">
        <v>1116</v>
      </c>
      <c r="G330">
        <v>5.0750000000000002</v>
      </c>
    </row>
    <row r="331" spans="1:7">
      <c r="A331" t="s">
        <v>1117</v>
      </c>
      <c r="B331">
        <v>1.2</v>
      </c>
      <c r="E331" t="s">
        <v>1118</v>
      </c>
      <c r="G331">
        <v>5</v>
      </c>
    </row>
    <row r="332" spans="1:7">
      <c r="A332" t="s">
        <v>1119</v>
      </c>
      <c r="B332">
        <v>1.2</v>
      </c>
      <c r="E332" t="s">
        <v>1120</v>
      </c>
      <c r="G332">
        <v>4.6500000000000004</v>
      </c>
    </row>
    <row r="333" spans="1:7">
      <c r="A333" t="s">
        <v>1121</v>
      </c>
      <c r="B333">
        <v>1</v>
      </c>
      <c r="E333" t="s">
        <v>1122</v>
      </c>
      <c r="G333">
        <v>4.6399999999999997</v>
      </c>
    </row>
    <row r="334" spans="1:7">
      <c r="A334" t="s">
        <v>1123</v>
      </c>
      <c r="B334">
        <v>0.5</v>
      </c>
      <c r="E334" t="s">
        <v>1124</v>
      </c>
      <c r="G334">
        <v>4.3857142857142799</v>
      </c>
    </row>
    <row r="335" spans="1:7">
      <c r="A335" t="s">
        <v>1125</v>
      </c>
      <c r="B335">
        <v>0.5</v>
      </c>
      <c r="E335" t="s">
        <v>1126</v>
      </c>
      <c r="G335">
        <v>4.2</v>
      </c>
    </row>
    <row r="336" spans="1:7">
      <c r="A336" t="s">
        <v>1127</v>
      </c>
      <c r="B336">
        <v>0.5</v>
      </c>
      <c r="E336" t="s">
        <v>1128</v>
      </c>
      <c r="G336">
        <v>4.0999999999999996</v>
      </c>
    </row>
    <row r="337" spans="1:7">
      <c r="A337" t="s">
        <v>1129</v>
      </c>
      <c r="B337">
        <v>0.2</v>
      </c>
      <c r="E337" t="s">
        <v>1130</v>
      </c>
      <c r="G337">
        <v>3.45</v>
      </c>
    </row>
    <row r="338" spans="1:7">
      <c r="E338" t="s">
        <v>1131</v>
      </c>
      <c r="G338">
        <v>3.3</v>
      </c>
    </row>
    <row r="339" spans="1:7">
      <c r="E339" t="s">
        <v>1132</v>
      </c>
      <c r="G339">
        <v>3.3</v>
      </c>
    </row>
    <row r="340" spans="1:7">
      <c r="E340" t="s">
        <v>1133</v>
      </c>
      <c r="G340">
        <v>3.1</v>
      </c>
    </row>
    <row r="341" spans="1:7">
      <c r="E341" t="s">
        <v>1134</v>
      </c>
      <c r="G341">
        <v>3.0833333333333299</v>
      </c>
    </row>
    <row r="342" spans="1:7">
      <c r="E342" t="s">
        <v>1135</v>
      </c>
      <c r="G342">
        <v>2.75</v>
      </c>
    </row>
    <row r="343" spans="1:7">
      <c r="E343" t="s">
        <v>1136</v>
      </c>
      <c r="G343">
        <v>2.5</v>
      </c>
    </row>
    <row r="344" spans="1:7">
      <c r="E344" t="s">
        <v>1137</v>
      </c>
      <c r="G344">
        <v>2.0499999999999998</v>
      </c>
    </row>
    <row r="345" spans="1:7">
      <c r="E345" t="s">
        <v>1138</v>
      </c>
      <c r="G345">
        <v>1.625</v>
      </c>
    </row>
    <row r="346" spans="1:7">
      <c r="E346" t="s">
        <v>724</v>
      </c>
      <c r="G346">
        <v>1.5333333333333301</v>
      </c>
    </row>
    <row r="347" spans="1:7">
      <c r="E347" t="s">
        <v>1139</v>
      </c>
      <c r="G347">
        <v>1.48</v>
      </c>
    </row>
    <row r="348" spans="1:7">
      <c r="E348" t="s">
        <v>1140</v>
      </c>
      <c r="G348">
        <v>1.4</v>
      </c>
    </row>
    <row r="349" spans="1:7">
      <c r="E349" t="s">
        <v>1141</v>
      </c>
      <c r="G349">
        <v>1.3</v>
      </c>
    </row>
    <row r="350" spans="1:7">
      <c r="E350" t="s">
        <v>1142</v>
      </c>
      <c r="G350">
        <v>1.2</v>
      </c>
    </row>
    <row r="351" spans="1:7">
      <c r="E351" t="s">
        <v>1143</v>
      </c>
      <c r="G351">
        <v>0.9</v>
      </c>
    </row>
    <row r="352" spans="1:7">
      <c r="E352" t="s">
        <v>1144</v>
      </c>
      <c r="G352">
        <v>0.8</v>
      </c>
    </row>
    <row r="353" spans="5:7">
      <c r="E353" t="s">
        <v>1145</v>
      </c>
      <c r="G353">
        <v>0.8</v>
      </c>
    </row>
    <row r="354" spans="5:7">
      <c r="E354" t="s">
        <v>1146</v>
      </c>
      <c r="G354">
        <v>0.75</v>
      </c>
    </row>
    <row r="355" spans="5:7">
      <c r="E355" t="s">
        <v>1147</v>
      </c>
      <c r="G355">
        <v>0.7</v>
      </c>
    </row>
    <row r="356" spans="5:7">
      <c r="E356" t="s">
        <v>1148</v>
      </c>
      <c r="G356">
        <v>0.3</v>
      </c>
    </row>
    <row r="357" spans="5:7">
      <c r="E357" t="s">
        <v>1149</v>
      </c>
      <c r="G357">
        <v>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B86F-6B54-4738-BB7E-254C2DF88B30}">
  <dimension ref="A1:G22"/>
  <sheetViews>
    <sheetView workbookViewId="0">
      <selection activeCell="J9" sqref="J9"/>
    </sheetView>
  </sheetViews>
  <sheetFormatPr defaultRowHeight="15"/>
  <sheetData>
    <row r="1" spans="1:7">
      <c r="A1" t="s">
        <v>25</v>
      </c>
      <c r="B1" t="s">
        <v>1150</v>
      </c>
      <c r="C1" t="s">
        <v>1151</v>
      </c>
      <c r="E1" t="s">
        <v>25</v>
      </c>
      <c r="F1" t="s">
        <v>1152</v>
      </c>
      <c r="G1" t="s">
        <v>1153</v>
      </c>
    </row>
    <row r="2" spans="1:7">
      <c r="A2" t="s">
        <v>190</v>
      </c>
      <c r="B2">
        <v>38.772727272727202</v>
      </c>
      <c r="C2">
        <v>14.818181818181801</v>
      </c>
      <c r="E2" t="s">
        <v>9</v>
      </c>
      <c r="F2">
        <v>36.6875</v>
      </c>
      <c r="G2">
        <v>19.1875</v>
      </c>
    </row>
    <row r="3" spans="1:7">
      <c r="A3" t="s">
        <v>191</v>
      </c>
      <c r="B3">
        <v>37.9</v>
      </c>
      <c r="C3">
        <v>17.7</v>
      </c>
      <c r="E3" t="s">
        <v>12</v>
      </c>
      <c r="F3">
        <v>38.4838709677419</v>
      </c>
      <c r="G3">
        <v>22.387096774193498</v>
      </c>
    </row>
    <row r="4" spans="1:7">
      <c r="A4" t="s">
        <v>192</v>
      </c>
      <c r="B4">
        <v>36.950000000000003</v>
      </c>
      <c r="C4">
        <v>19.5</v>
      </c>
      <c r="E4" t="s">
        <v>13</v>
      </c>
      <c r="F4">
        <v>36.586206896551701</v>
      </c>
      <c r="G4">
        <v>22.034482758620602</v>
      </c>
    </row>
    <row r="5" spans="1:7">
      <c r="A5" t="s">
        <v>193</v>
      </c>
      <c r="B5">
        <v>32.200000000000003</v>
      </c>
      <c r="C5">
        <v>21</v>
      </c>
      <c r="E5" t="s">
        <v>15</v>
      </c>
      <c r="F5">
        <v>33.5483870967741</v>
      </c>
      <c r="G5">
        <v>26.322580645161199</v>
      </c>
    </row>
    <row r="6" spans="1:7">
      <c r="A6" t="s">
        <v>194</v>
      </c>
      <c r="B6">
        <v>34.478260869565197</v>
      </c>
      <c r="C6">
        <v>20.434782608695599</v>
      </c>
      <c r="E6" t="s">
        <v>16</v>
      </c>
      <c r="F6">
        <v>34.1</v>
      </c>
      <c r="G6">
        <v>23.8666666666666</v>
      </c>
    </row>
    <row r="7" spans="1:7">
      <c r="A7" t="s">
        <v>195</v>
      </c>
      <c r="B7">
        <v>35.9166666666666</v>
      </c>
      <c r="C7">
        <v>18.8333333333333</v>
      </c>
      <c r="E7" t="s">
        <v>17</v>
      </c>
      <c r="F7">
        <v>33.911764705882298</v>
      </c>
      <c r="G7">
        <v>27.470588235294102</v>
      </c>
    </row>
    <row r="8" spans="1:7">
      <c r="A8" t="s">
        <v>196</v>
      </c>
      <c r="B8">
        <v>35.6</v>
      </c>
      <c r="C8">
        <v>18.399999999999999</v>
      </c>
      <c r="E8" t="s">
        <v>18</v>
      </c>
      <c r="F8">
        <v>31.6666666666666</v>
      </c>
      <c r="G8">
        <v>28.6111111111111</v>
      </c>
    </row>
    <row r="9" spans="1:7">
      <c r="A9" t="s">
        <v>197</v>
      </c>
      <c r="B9">
        <v>33.863636363636303</v>
      </c>
      <c r="C9">
        <v>21.818181818181799</v>
      </c>
      <c r="E9" t="s">
        <v>19</v>
      </c>
      <c r="F9">
        <v>34.299999999999997</v>
      </c>
      <c r="G9">
        <v>22.9</v>
      </c>
    </row>
    <row r="10" spans="1:7">
      <c r="A10" t="s">
        <v>198</v>
      </c>
      <c r="B10">
        <v>35.6875</v>
      </c>
      <c r="C10">
        <v>18.375</v>
      </c>
      <c r="E10" t="s">
        <v>20</v>
      </c>
      <c r="F10">
        <v>34.235294117647001</v>
      </c>
      <c r="G10">
        <v>25.176470588235201</v>
      </c>
    </row>
    <row r="11" spans="1:7">
      <c r="A11" t="s">
        <v>199</v>
      </c>
      <c r="B11">
        <v>36.454545454545404</v>
      </c>
      <c r="C11">
        <v>19</v>
      </c>
      <c r="E11" t="s">
        <v>21</v>
      </c>
      <c r="F11">
        <v>33.447368421052602</v>
      </c>
      <c r="G11">
        <v>25.473684210526301</v>
      </c>
    </row>
    <row r="12" spans="1:7">
      <c r="A12" t="s">
        <v>200</v>
      </c>
      <c r="B12">
        <v>40.6086956521739</v>
      </c>
      <c r="C12">
        <v>19.347826086956498</v>
      </c>
      <c r="E12" t="s">
        <v>22</v>
      </c>
      <c r="F12">
        <v>32.9</v>
      </c>
      <c r="G12">
        <v>26.35</v>
      </c>
    </row>
    <row r="13" spans="1:7">
      <c r="A13" t="s">
        <v>202</v>
      </c>
      <c r="B13">
        <v>41.3333333333333</v>
      </c>
      <c r="C13">
        <v>18.3333333333333</v>
      </c>
      <c r="E13" t="s">
        <v>23</v>
      </c>
      <c r="F13">
        <v>34.048780487804798</v>
      </c>
      <c r="G13">
        <v>25.121951219512098</v>
      </c>
    </row>
    <row r="14" spans="1:7">
      <c r="A14" t="s">
        <v>203</v>
      </c>
      <c r="B14">
        <v>42.655172413793103</v>
      </c>
      <c r="C14">
        <v>19.620689655172399</v>
      </c>
      <c r="E14" t="s">
        <v>24</v>
      </c>
      <c r="F14">
        <v>35.200000000000003</v>
      </c>
      <c r="G14">
        <v>26</v>
      </c>
    </row>
    <row r="15" spans="1:7">
      <c r="A15" t="s">
        <v>204</v>
      </c>
      <c r="B15">
        <v>38.103448275862</v>
      </c>
      <c r="C15">
        <v>22</v>
      </c>
    </row>
    <row r="16" spans="1:7">
      <c r="A16" t="s">
        <v>205</v>
      </c>
      <c r="B16">
        <v>35.771428571428501</v>
      </c>
      <c r="C16">
        <v>22.0857142857142</v>
      </c>
    </row>
    <row r="17" spans="1:3">
      <c r="A17" t="s">
        <v>206</v>
      </c>
      <c r="B17">
        <v>37.6388888888888</v>
      </c>
      <c r="C17">
        <v>20.5277777777777</v>
      </c>
    </row>
    <row r="18" spans="1:3">
      <c r="A18" t="s">
        <v>207</v>
      </c>
      <c r="B18">
        <v>34.6666666666666</v>
      </c>
      <c r="C18">
        <v>22.7222222222222</v>
      </c>
    </row>
    <row r="19" spans="1:3">
      <c r="A19" t="s">
        <v>208</v>
      </c>
      <c r="B19">
        <v>33.892857142857103</v>
      </c>
      <c r="C19">
        <v>23.535714285714199</v>
      </c>
    </row>
    <row r="20" spans="1:3">
      <c r="A20" t="s">
        <v>211</v>
      </c>
      <c r="B20">
        <v>37.205128205128197</v>
      </c>
      <c r="C20">
        <v>21.923076923076898</v>
      </c>
    </row>
    <row r="21" spans="1:3">
      <c r="A21" t="s">
        <v>212</v>
      </c>
      <c r="B21">
        <v>37.705882352941103</v>
      </c>
      <c r="C21">
        <v>22.205882352941099</v>
      </c>
    </row>
    <row r="22" spans="1:3">
      <c r="A22" t="s">
        <v>213</v>
      </c>
      <c r="B22">
        <v>38.147058823529399</v>
      </c>
      <c r="C22">
        <v>24.029411764705799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F959-98DF-4A23-8810-0DDD07990AA6}">
  <dimension ref="A1:C26"/>
  <sheetViews>
    <sheetView workbookViewId="0">
      <selection activeCell="H11" sqref="H11"/>
    </sheetView>
  </sheetViews>
  <sheetFormatPr defaultRowHeight="15"/>
  <sheetData>
    <row r="1" spans="1:3">
      <c r="A1" t="s">
        <v>25</v>
      </c>
      <c r="B1" t="s">
        <v>1154</v>
      </c>
      <c r="C1" t="s">
        <v>1155</v>
      </c>
    </row>
    <row r="2" spans="1:3">
      <c r="A2" t="s">
        <v>1156</v>
      </c>
      <c r="B2">
        <v>150.664557</v>
      </c>
      <c r="C2" s="13">
        <v>161.17088609999999</v>
      </c>
    </row>
    <row r="3" spans="1:3">
      <c r="A3" t="s">
        <v>1157</v>
      </c>
      <c r="B3">
        <v>149.58865449999999</v>
      </c>
      <c r="C3" s="13">
        <v>160.96363640000001</v>
      </c>
    </row>
    <row r="4" spans="1:3">
      <c r="A4" t="s">
        <v>1158</v>
      </c>
      <c r="B4">
        <v>144.2005455</v>
      </c>
      <c r="C4" s="13">
        <v>157.03636359999999</v>
      </c>
    </row>
    <row r="5" spans="1:3">
      <c r="A5" t="s">
        <v>1159</v>
      </c>
      <c r="B5">
        <v>141.79545450000001</v>
      </c>
      <c r="C5" s="13">
        <v>157.15</v>
      </c>
    </row>
    <row r="6" spans="1:3">
      <c r="A6" t="s">
        <v>1160</v>
      </c>
      <c r="B6">
        <v>144.28471619999999</v>
      </c>
      <c r="C6" s="13">
        <v>155.5938865</v>
      </c>
    </row>
    <row r="7" spans="1:3">
      <c r="A7" t="s">
        <v>1161</v>
      </c>
      <c r="B7">
        <v>142.65558440000001</v>
      </c>
      <c r="C7" s="13">
        <v>149.9004329</v>
      </c>
    </row>
    <row r="8" spans="1:3">
      <c r="A8" t="s">
        <v>1162</v>
      </c>
      <c r="B8">
        <v>143.5601739</v>
      </c>
      <c r="C8" s="13">
        <v>152.3608696</v>
      </c>
    </row>
    <row r="9" spans="1:3">
      <c r="A9" t="s">
        <v>1163</v>
      </c>
      <c r="B9">
        <v>143.97870130000001</v>
      </c>
      <c r="C9" s="13">
        <v>154.1471861</v>
      </c>
    </row>
    <row r="10" spans="1:3">
      <c r="A10" t="s">
        <v>1164</v>
      </c>
      <c r="B10">
        <v>141.72404259999999</v>
      </c>
      <c r="C10" s="13">
        <v>152.26595739999999</v>
      </c>
    </row>
    <row r="11" spans="1:3">
      <c r="A11" t="s">
        <v>1165</v>
      </c>
      <c r="B11">
        <v>141.53085110000001</v>
      </c>
      <c r="C11" s="13">
        <v>150.9202128</v>
      </c>
    </row>
    <row r="12" spans="1:3">
      <c r="A12" t="s">
        <v>1166</v>
      </c>
      <c r="B12">
        <v>142.15089950000001</v>
      </c>
      <c r="C12" s="13">
        <v>148.5026455</v>
      </c>
    </row>
    <row r="13" spans="1:3">
      <c r="A13" t="s">
        <v>1167</v>
      </c>
      <c r="B13">
        <v>142.30744680000001</v>
      </c>
      <c r="C13" s="13">
        <v>149.22872340000001</v>
      </c>
    </row>
    <row r="14" spans="1:3">
      <c r="A14" t="s">
        <v>1168</v>
      </c>
      <c r="B14">
        <v>140.8932806</v>
      </c>
      <c r="C14" s="13">
        <v>149.84189720000001</v>
      </c>
    </row>
    <row r="15" spans="1:3">
      <c r="A15" t="s">
        <v>1169</v>
      </c>
      <c r="B15">
        <v>140.16316209999999</v>
      </c>
      <c r="C15" s="13">
        <v>151.173913</v>
      </c>
    </row>
    <row r="16" spans="1:3">
      <c r="A16" t="s">
        <v>1170</v>
      </c>
      <c r="B16">
        <v>143.8384064</v>
      </c>
      <c r="C16" s="13">
        <v>155.75298799999999</v>
      </c>
    </row>
    <row r="17" spans="1:3">
      <c r="A17" t="s">
        <v>1171</v>
      </c>
      <c r="B17">
        <v>143.27376000000001</v>
      </c>
      <c r="C17" s="13">
        <v>154.52799999999999</v>
      </c>
    </row>
    <row r="18" spans="1:3">
      <c r="A18" t="s">
        <v>1172</v>
      </c>
      <c r="B18">
        <v>144.02671810000001</v>
      </c>
      <c r="C18" s="13">
        <v>158.16602320000001</v>
      </c>
    </row>
    <row r="19" spans="1:3">
      <c r="A19" t="s">
        <v>1173</v>
      </c>
      <c r="B19">
        <v>142.19861539999999</v>
      </c>
      <c r="C19" s="13">
        <v>161.71153849999999</v>
      </c>
    </row>
    <row r="20" spans="1:3">
      <c r="A20" t="s">
        <v>1174</v>
      </c>
      <c r="B20">
        <v>142.52046150000001</v>
      </c>
      <c r="C20" s="13">
        <v>161.04615380000001</v>
      </c>
    </row>
    <row r="21" spans="1:3">
      <c r="A21" t="s">
        <v>1175</v>
      </c>
      <c r="B21">
        <v>144.23507939999999</v>
      </c>
      <c r="C21" s="13">
        <v>161.09126979999999</v>
      </c>
    </row>
    <row r="22" spans="1:3">
      <c r="A22" t="s">
        <v>1176</v>
      </c>
      <c r="B22">
        <v>142.3280488</v>
      </c>
      <c r="C22" s="13">
        <v>158.74695120000001</v>
      </c>
    </row>
    <row r="23" spans="1:3">
      <c r="A23" t="s">
        <v>1177</v>
      </c>
      <c r="B23">
        <v>139.82327760000001</v>
      </c>
      <c r="C23" s="13">
        <v>154.0602007</v>
      </c>
    </row>
    <row r="24" spans="1:3">
      <c r="A24" t="s">
        <v>1178</v>
      </c>
      <c r="B24">
        <v>142.1845122</v>
      </c>
      <c r="C24" s="13">
        <v>161.4756098</v>
      </c>
    </row>
    <row r="25" spans="1:3">
      <c r="A25" t="s">
        <v>1179</v>
      </c>
      <c r="B25">
        <v>143.8454381</v>
      </c>
      <c r="C25" s="13">
        <v>163.18731120000001</v>
      </c>
    </row>
    <row r="26" spans="1:3">
      <c r="A26" t="s">
        <v>1180</v>
      </c>
      <c r="B26">
        <v>145.4196364</v>
      </c>
      <c r="C26" s="13">
        <v>167.8212121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A917-7D50-4A56-A3F6-320F45E0D0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7073-8BBD-4C57-AF62-E4E8B8C00178}">
  <dimension ref="A1:B15"/>
  <sheetViews>
    <sheetView workbookViewId="0">
      <selection activeCell="F5" sqref="F5"/>
    </sheetView>
  </sheetViews>
  <sheetFormatPr defaultRowHeight="15"/>
  <sheetData>
    <row r="1" spans="1:2" ht="34.5">
      <c r="A1" s="2" t="s">
        <v>32</v>
      </c>
      <c r="B1" s="2" t="s">
        <v>33</v>
      </c>
    </row>
    <row r="2" spans="1:2">
      <c r="A2" s="3" t="s">
        <v>34</v>
      </c>
      <c r="B2" s="3">
        <v>19.066666666666599</v>
      </c>
    </row>
    <row r="3" spans="1:2">
      <c r="A3" s="3"/>
      <c r="B3" s="3"/>
    </row>
    <row r="4" spans="1:2">
      <c r="A4" s="3" t="s">
        <v>35</v>
      </c>
      <c r="B4" s="3">
        <v>18.323529411764699</v>
      </c>
    </row>
    <row r="5" spans="1:2">
      <c r="A5" s="3"/>
      <c r="B5" s="3"/>
    </row>
    <row r="6" spans="1:2">
      <c r="A6" s="3" t="s">
        <v>36</v>
      </c>
      <c r="B6" s="3">
        <v>18.294117647058801</v>
      </c>
    </row>
    <row r="7" spans="1:2">
      <c r="A7" s="3"/>
      <c r="B7" s="3"/>
    </row>
    <row r="8" spans="1:2">
      <c r="A8" s="3" t="s">
        <v>37</v>
      </c>
      <c r="B8" s="3">
        <v>16.729729729729701</v>
      </c>
    </row>
    <row r="9" spans="1:2">
      <c r="A9" s="3"/>
      <c r="B9" s="3"/>
    </row>
    <row r="10" spans="1:2">
      <c r="A10" s="3" t="s">
        <v>38</v>
      </c>
      <c r="B10" s="3">
        <v>19.435897435897399</v>
      </c>
    </row>
    <row r="11" spans="1:2">
      <c r="A11" s="3"/>
      <c r="B11" s="3"/>
    </row>
    <row r="12" spans="1:2">
      <c r="A12" s="3" t="s">
        <v>39</v>
      </c>
      <c r="B12" s="3">
        <v>19.9428571428571</v>
      </c>
    </row>
    <row r="13" spans="1:2">
      <c r="A13" s="3"/>
      <c r="B13" s="3"/>
    </row>
    <row r="14" spans="1:2">
      <c r="A14" s="3" t="s">
        <v>40</v>
      </c>
      <c r="B14" s="3">
        <v>16.147058823529399</v>
      </c>
    </row>
    <row r="15" spans="1:2">
      <c r="A15" s="3"/>
      <c r="B15" s="3"/>
    </row>
  </sheetData>
  <mergeCells count="14">
    <mergeCell ref="A14:A15"/>
    <mergeCell ref="B14:B15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B421-A98F-4FF0-ACDF-321DD39AE0A1}">
  <dimension ref="A1:C6"/>
  <sheetViews>
    <sheetView workbookViewId="0">
      <selection activeCell="E3" sqref="E3"/>
    </sheetView>
  </sheetViews>
  <sheetFormatPr defaultRowHeight="15"/>
  <sheetData>
    <row r="1" spans="1:3" ht="30.75" thickBot="1">
      <c r="A1" s="4" t="s">
        <v>41</v>
      </c>
      <c r="B1" s="4" t="s">
        <v>42</v>
      </c>
      <c r="C1" s="4" t="s">
        <v>43</v>
      </c>
    </row>
    <row r="2" spans="1:3" ht="43.5" thickBot="1">
      <c r="A2" s="1" t="s">
        <v>44</v>
      </c>
      <c r="B2" s="1">
        <v>6.5750000000000002</v>
      </c>
      <c r="C2" s="1">
        <v>1.2</v>
      </c>
    </row>
    <row r="3" spans="1:3" ht="29.25" thickBot="1">
      <c r="A3" s="1" t="s">
        <v>45</v>
      </c>
      <c r="B3" s="1">
        <v>5.3529411764705799</v>
      </c>
      <c r="C3" s="1">
        <v>1.1176470588235199</v>
      </c>
    </row>
    <row r="4" spans="1:3" ht="29.25" thickBot="1">
      <c r="A4" s="1" t="s">
        <v>46</v>
      </c>
      <c r="B4" s="1">
        <v>5.4666666666666597</v>
      </c>
      <c r="C4" s="1">
        <v>0.73333333333333295</v>
      </c>
    </row>
    <row r="5" spans="1:3" ht="43.5" thickBot="1">
      <c r="A5" s="1" t="s">
        <v>47</v>
      </c>
      <c r="B5" s="1">
        <v>8</v>
      </c>
      <c r="C5" s="1">
        <v>1.8</v>
      </c>
    </row>
    <row r="6" spans="1:3" ht="43.5" thickBot="1">
      <c r="A6" s="1" t="s">
        <v>48</v>
      </c>
      <c r="B6" s="1">
        <v>8.3333333333333304</v>
      </c>
      <c r="C6" s="1">
        <v>0.88888888888888895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A52A-5D24-4948-AFE1-E2343F2B64F4}">
  <dimension ref="A1:K11"/>
  <sheetViews>
    <sheetView workbookViewId="0">
      <selection activeCell="S6" sqref="S6"/>
    </sheetView>
  </sheetViews>
  <sheetFormatPr defaultRowHeight="15"/>
  <sheetData>
    <row r="1" spans="1:11" ht="51.75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</row>
    <row r="2" spans="1:11" ht="105" customHeight="1">
      <c r="A2" s="8" t="s">
        <v>156</v>
      </c>
      <c r="B2" s="3" t="s">
        <v>157</v>
      </c>
      <c r="C2" s="9"/>
      <c r="D2" s="10">
        <v>19104</v>
      </c>
      <c r="E2" s="8" t="s">
        <v>158</v>
      </c>
      <c r="F2" s="3">
        <v>6</v>
      </c>
      <c r="G2" s="3">
        <v>4</v>
      </c>
      <c r="H2" s="3">
        <v>2</v>
      </c>
      <c r="I2" s="3">
        <v>66.666671752929602</v>
      </c>
      <c r="J2" s="3">
        <v>79.3333333333333</v>
      </c>
      <c r="K2" s="3">
        <v>73</v>
      </c>
    </row>
    <row r="3" spans="1:11">
      <c r="A3" s="8"/>
      <c r="B3" s="3"/>
      <c r="C3" s="9"/>
      <c r="D3" s="10"/>
      <c r="E3" s="8"/>
      <c r="F3" s="3"/>
      <c r="G3" s="3"/>
      <c r="H3" s="3"/>
      <c r="I3" s="3"/>
      <c r="J3" s="3"/>
      <c r="K3" s="3"/>
    </row>
    <row r="4" spans="1:11" ht="105" customHeight="1">
      <c r="A4" s="8" t="s">
        <v>159</v>
      </c>
      <c r="B4" s="3" t="s">
        <v>160</v>
      </c>
      <c r="C4" s="9"/>
      <c r="D4" s="10">
        <v>21692</v>
      </c>
      <c r="E4" s="8" t="s">
        <v>161</v>
      </c>
      <c r="F4" s="3">
        <v>20</v>
      </c>
      <c r="G4" s="3">
        <v>11</v>
      </c>
      <c r="H4" s="3">
        <v>9</v>
      </c>
      <c r="I4" s="3">
        <v>55</v>
      </c>
      <c r="J4" s="3">
        <v>73</v>
      </c>
      <c r="K4" s="3">
        <v>70.849999999999994</v>
      </c>
    </row>
    <row r="5" spans="1:11">
      <c r="A5" s="8"/>
      <c r="B5" s="3"/>
      <c r="C5" s="9"/>
      <c r="D5" s="10"/>
      <c r="E5" s="8"/>
      <c r="F5" s="3"/>
      <c r="G5" s="3"/>
      <c r="H5" s="3"/>
      <c r="I5" s="3"/>
      <c r="J5" s="3"/>
      <c r="K5" s="3"/>
    </row>
    <row r="6" spans="1:11" ht="105" customHeight="1">
      <c r="A6" s="8" t="s">
        <v>162</v>
      </c>
      <c r="B6" s="3" t="s">
        <v>163</v>
      </c>
      <c r="C6" s="9"/>
      <c r="D6" s="10">
        <v>21823</v>
      </c>
      <c r="E6" s="8" t="s">
        <v>164</v>
      </c>
      <c r="F6" s="3">
        <v>25</v>
      </c>
      <c r="G6" s="3">
        <v>22</v>
      </c>
      <c r="H6" s="3">
        <v>3</v>
      </c>
      <c r="I6" s="3">
        <v>88</v>
      </c>
      <c r="J6" s="3">
        <v>77.400000000000006</v>
      </c>
      <c r="K6" s="3">
        <v>65.12</v>
      </c>
    </row>
    <row r="7" spans="1:11">
      <c r="A7" s="8"/>
      <c r="B7" s="3"/>
      <c r="C7" s="9"/>
      <c r="D7" s="10"/>
      <c r="E7" s="8"/>
      <c r="F7" s="3"/>
      <c r="G7" s="3"/>
      <c r="H7" s="3"/>
      <c r="I7" s="3"/>
      <c r="J7" s="3"/>
      <c r="K7" s="3"/>
    </row>
    <row r="8" spans="1:11" ht="105" customHeight="1">
      <c r="A8" s="8" t="s">
        <v>165</v>
      </c>
      <c r="B8" s="3" t="s">
        <v>166</v>
      </c>
      <c r="C8" s="9"/>
      <c r="D8" s="10">
        <v>26589</v>
      </c>
      <c r="E8" s="8" t="s">
        <v>167</v>
      </c>
      <c r="F8" s="3">
        <v>4</v>
      </c>
      <c r="G8" s="3">
        <v>4</v>
      </c>
      <c r="H8" s="3">
        <v>0</v>
      </c>
      <c r="I8" s="3">
        <v>100</v>
      </c>
      <c r="J8" s="3">
        <v>92.75</v>
      </c>
      <c r="K8" s="3">
        <v>71.5</v>
      </c>
    </row>
    <row r="9" spans="1:11">
      <c r="A9" s="8"/>
      <c r="B9" s="3"/>
      <c r="C9" s="9"/>
      <c r="D9" s="10"/>
      <c r="E9" s="8"/>
      <c r="F9" s="3"/>
      <c r="G9" s="3"/>
      <c r="H9" s="3"/>
      <c r="I9" s="3"/>
      <c r="J9" s="3"/>
      <c r="K9" s="3"/>
    </row>
    <row r="10" spans="1:11" ht="105" customHeight="1">
      <c r="A10" s="8" t="s">
        <v>168</v>
      </c>
      <c r="B10" s="3" t="s">
        <v>169</v>
      </c>
      <c r="C10" s="9"/>
      <c r="D10" s="10">
        <v>21984</v>
      </c>
      <c r="E10" s="8" t="s">
        <v>158</v>
      </c>
      <c r="F10" s="3">
        <v>24</v>
      </c>
      <c r="G10" s="3">
        <v>20</v>
      </c>
      <c r="H10" s="3">
        <v>4</v>
      </c>
      <c r="I10" s="3">
        <v>83.333328247070298</v>
      </c>
      <c r="J10" s="3">
        <v>80.9166666666666</v>
      </c>
      <c r="K10" s="3">
        <v>72.125</v>
      </c>
    </row>
    <row r="11" spans="1:11">
      <c r="A11" s="8"/>
      <c r="B11" s="3"/>
      <c r="C11" s="9"/>
      <c r="D11" s="10"/>
      <c r="E11" s="8"/>
      <c r="F11" s="3"/>
      <c r="G11" s="3"/>
      <c r="H11" s="3"/>
      <c r="I11" s="3"/>
      <c r="J11" s="3"/>
      <c r="K11" s="3"/>
    </row>
  </sheetData>
  <mergeCells count="55">
    <mergeCell ref="G10:G11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F10:F11"/>
    <mergeCell ref="F8:F9"/>
    <mergeCell ref="G8:G9"/>
    <mergeCell ref="H8:H9"/>
    <mergeCell ref="I8:I9"/>
    <mergeCell ref="J8:J9"/>
    <mergeCell ref="K8:K9"/>
    <mergeCell ref="G6:G7"/>
    <mergeCell ref="H6:H7"/>
    <mergeCell ref="I6:I7"/>
    <mergeCell ref="J6:J7"/>
    <mergeCell ref="K6:K7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F6:F7"/>
    <mergeCell ref="F4:F5"/>
    <mergeCell ref="G4:G5"/>
    <mergeCell ref="H4:H5"/>
    <mergeCell ref="I4:I5"/>
    <mergeCell ref="J4:J5"/>
    <mergeCell ref="K4:K5"/>
    <mergeCell ref="G2:G3"/>
    <mergeCell ref="H2:H3"/>
    <mergeCell ref="I2:I3"/>
    <mergeCell ref="J2:J3"/>
    <mergeCell ref="K2:K3"/>
    <mergeCell ref="A4:A5"/>
    <mergeCell ref="B4:B5"/>
    <mergeCell ref="C4:C5"/>
    <mergeCell ref="D4:D5"/>
    <mergeCell ref="E4:E5"/>
    <mergeCell ref="A2:A3"/>
    <mergeCell ref="B2:B3"/>
    <mergeCell ref="C2:C3"/>
    <mergeCell ref="D2:D3"/>
    <mergeCell ref="E2:E3"/>
    <mergeCell ref="F2:F3"/>
  </mergeCells>
  <hyperlinks>
    <hyperlink ref="A2" r:id="rId1" xr:uid="{720B2730-BE5C-4822-B7C9-E518D76EE82B}"/>
    <hyperlink ref="E2" r:id="rId2" xr:uid="{85D25BEB-3AD8-4139-AEBE-22DED179D4A3}"/>
    <hyperlink ref="A4" r:id="rId3" xr:uid="{F98F3FAF-1857-4DB7-9700-49FE9C043EA9}"/>
    <hyperlink ref="E4" r:id="rId4" xr:uid="{B49E4DA1-E717-4624-987B-EFD547F82E7C}"/>
    <hyperlink ref="A6" r:id="rId5" xr:uid="{65B0CEE8-8DD6-4DEA-AB61-E62A7A28B592}"/>
    <hyperlink ref="E6" r:id="rId6" xr:uid="{7A70210D-1841-4889-B982-7EC1946AE532}"/>
    <hyperlink ref="A8" r:id="rId7" xr:uid="{E2D1CC02-1E46-45F7-92D9-7FA80DE99F80}"/>
    <hyperlink ref="E8" r:id="rId8" xr:uid="{9E8F22AD-F97C-431B-8E71-696C5A8315F1}"/>
    <hyperlink ref="A10" r:id="rId9" xr:uid="{9B81742E-1D94-417E-9E02-FED116055F8A}"/>
    <hyperlink ref="E10" r:id="rId10" xr:uid="{4A6954B4-38D9-4D3D-AB95-85A4966972D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9440-EBBC-418F-AB25-CFDDB487869B}">
  <dimension ref="A1:L7"/>
  <sheetViews>
    <sheetView workbookViewId="0">
      <selection sqref="A1:L7"/>
    </sheetView>
  </sheetViews>
  <sheetFormatPr defaultRowHeight="15"/>
  <sheetData>
    <row r="1" spans="1:12" ht="69">
      <c r="A1" s="2" t="s">
        <v>170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</row>
    <row r="2" spans="1:12" ht="75" customHeight="1">
      <c r="A2" s="8" t="s">
        <v>178</v>
      </c>
      <c r="B2" s="3" t="s">
        <v>179</v>
      </c>
      <c r="C2" s="9"/>
      <c r="D2" s="9"/>
      <c r="E2" s="8" t="s">
        <v>180</v>
      </c>
      <c r="F2" s="3">
        <v>27</v>
      </c>
      <c r="G2" s="3">
        <v>169.111111111111</v>
      </c>
      <c r="H2" s="3">
        <v>10.9629629629629</v>
      </c>
      <c r="I2" s="3">
        <v>67.644444444444403</v>
      </c>
      <c r="J2" s="3">
        <v>70.370368957519503</v>
      </c>
      <c r="K2" s="3">
        <v>1</v>
      </c>
      <c r="L2" s="3">
        <v>9552.8888888888796</v>
      </c>
    </row>
    <row r="3" spans="1:12">
      <c r="A3" s="8"/>
      <c r="B3" s="3"/>
      <c r="C3" s="9"/>
      <c r="D3" s="9"/>
      <c r="E3" s="8"/>
      <c r="F3" s="3"/>
      <c r="G3" s="3"/>
      <c r="H3" s="3"/>
      <c r="I3" s="3"/>
      <c r="J3" s="3"/>
      <c r="K3" s="3"/>
      <c r="L3" s="3"/>
    </row>
    <row r="4" spans="1:12" ht="75" customHeight="1">
      <c r="A4" s="8" t="s">
        <v>181</v>
      </c>
      <c r="B4" s="3" t="s">
        <v>182</v>
      </c>
      <c r="C4" s="9"/>
      <c r="D4" s="9"/>
      <c r="E4" s="8" t="s">
        <v>183</v>
      </c>
      <c r="F4" s="3">
        <v>25</v>
      </c>
      <c r="G4" s="3">
        <v>165.52</v>
      </c>
      <c r="H4" s="3">
        <v>8.4</v>
      </c>
      <c r="I4" s="3">
        <v>66.207999999999998</v>
      </c>
      <c r="J4" s="3">
        <v>76</v>
      </c>
      <c r="K4" s="3">
        <v>1</v>
      </c>
      <c r="L4" s="3">
        <v>12874.92</v>
      </c>
    </row>
    <row r="5" spans="1:12">
      <c r="A5" s="8"/>
      <c r="B5" s="3"/>
      <c r="C5" s="9"/>
      <c r="D5" s="9"/>
      <c r="E5" s="8"/>
      <c r="F5" s="3"/>
      <c r="G5" s="3"/>
      <c r="H5" s="3"/>
      <c r="I5" s="3"/>
      <c r="J5" s="3"/>
      <c r="K5" s="3"/>
      <c r="L5" s="3"/>
    </row>
    <row r="6" spans="1:12" ht="75" customHeight="1">
      <c r="A6" s="8" t="s">
        <v>184</v>
      </c>
      <c r="B6" s="3" t="s">
        <v>185</v>
      </c>
      <c r="C6" s="9"/>
      <c r="D6" s="9"/>
      <c r="E6" s="8" t="s">
        <v>186</v>
      </c>
      <c r="F6" s="3">
        <v>23</v>
      </c>
      <c r="G6" s="3">
        <v>164.82608695652101</v>
      </c>
      <c r="H6" s="3">
        <v>11.173913043478199</v>
      </c>
      <c r="I6" s="3">
        <v>65.9304347826086</v>
      </c>
      <c r="J6" s="3">
        <v>73.913040161132798</v>
      </c>
      <c r="K6" s="3">
        <v>2</v>
      </c>
      <c r="L6" s="3">
        <v>10086.217391304301</v>
      </c>
    </row>
    <row r="7" spans="1:12">
      <c r="A7" s="8"/>
      <c r="B7" s="3"/>
      <c r="C7" s="9"/>
      <c r="D7" s="9"/>
      <c r="E7" s="8"/>
      <c r="F7" s="3"/>
      <c r="G7" s="3"/>
      <c r="H7" s="3"/>
      <c r="I7" s="3"/>
      <c r="J7" s="3"/>
      <c r="K7" s="3"/>
      <c r="L7" s="3"/>
    </row>
  </sheetData>
  <mergeCells count="36"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hyperlinks>
    <hyperlink ref="A2" r:id="rId1" xr:uid="{34DFE73A-6D5C-437D-96FE-09F7BA3930FA}"/>
    <hyperlink ref="E2" r:id="rId2" xr:uid="{99DD8001-F1F0-402C-9841-E179A97EF533}"/>
    <hyperlink ref="A4" r:id="rId3" xr:uid="{CF726DE6-300F-46C6-AFA4-D0DE9DC54A8D}"/>
    <hyperlink ref="E4" r:id="rId4" xr:uid="{1F9D2146-2C7E-47F2-8352-0F3E5D90A472}"/>
    <hyperlink ref="A6" r:id="rId5" xr:uid="{91CDB038-E202-4200-9FC2-9695134E4A54}"/>
    <hyperlink ref="E6" r:id="rId6" xr:uid="{ABBF7930-AF90-4CD6-B46D-1EA83A8C1A1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E25D-2F82-4B0B-B86C-5FD1846DF71D}">
  <dimension ref="A1:A58"/>
  <sheetViews>
    <sheetView workbookViewId="0">
      <selection activeCell="H4" sqref="H4"/>
    </sheetView>
  </sheetViews>
  <sheetFormatPr defaultRowHeight="15"/>
  <cols>
    <col min="1" max="1" width="33.42578125" customWidth="1"/>
  </cols>
  <sheetData>
    <row r="1" spans="1:1" ht="30.75" thickBot="1">
      <c r="A1" s="5" t="s">
        <v>32</v>
      </c>
    </row>
    <row r="2" spans="1:1" ht="43.5" thickBot="1">
      <c r="A2" s="6" t="s">
        <v>49</v>
      </c>
    </row>
    <row r="3" spans="1:1" ht="43.5" thickBot="1">
      <c r="A3" s="6" t="s">
        <v>50</v>
      </c>
    </row>
    <row r="4" spans="1:1" ht="43.5" thickBot="1">
      <c r="A4" s="6" t="s">
        <v>51</v>
      </c>
    </row>
    <row r="5" spans="1:1" ht="29.25" thickBot="1">
      <c r="A5" s="6" t="s">
        <v>52</v>
      </c>
    </row>
    <row r="6" spans="1:1" ht="57.75" thickBot="1">
      <c r="A6" s="6" t="s">
        <v>53</v>
      </c>
    </row>
    <row r="7" spans="1:1" ht="43.5" thickBot="1">
      <c r="A7" s="6" t="s">
        <v>54</v>
      </c>
    </row>
    <row r="8" spans="1:1" ht="57.75" thickBot="1">
      <c r="A8" s="6" t="s">
        <v>55</v>
      </c>
    </row>
    <row r="9" spans="1:1" ht="57.75" thickBot="1">
      <c r="A9" s="6" t="s">
        <v>56</v>
      </c>
    </row>
    <row r="10" spans="1:1" ht="43.5" thickBot="1">
      <c r="A10" s="6" t="s">
        <v>57</v>
      </c>
    </row>
    <row r="11" spans="1:1" ht="43.5" thickBot="1">
      <c r="A11" s="6" t="s">
        <v>58</v>
      </c>
    </row>
    <row r="12" spans="1:1" ht="57.75" thickBot="1">
      <c r="A12" s="6" t="s">
        <v>59</v>
      </c>
    </row>
    <row r="13" spans="1:1" ht="43.5" thickBot="1">
      <c r="A13" s="6" t="s">
        <v>60</v>
      </c>
    </row>
    <row r="14" spans="1:1" ht="57.75" thickBot="1">
      <c r="A14" s="6" t="s">
        <v>61</v>
      </c>
    </row>
    <row r="15" spans="1:1" ht="57.75" thickBot="1">
      <c r="A15" s="6" t="s">
        <v>62</v>
      </c>
    </row>
    <row r="16" spans="1:1" ht="29.25" thickBot="1">
      <c r="A16" s="6" t="s">
        <v>63</v>
      </c>
    </row>
    <row r="17" spans="1:1" ht="29.25" thickBot="1">
      <c r="A17" s="6" t="s">
        <v>64</v>
      </c>
    </row>
    <row r="18" spans="1:1" ht="29.25" thickBot="1">
      <c r="A18" s="6" t="s">
        <v>65</v>
      </c>
    </row>
    <row r="19" spans="1:1" ht="29.25" thickBot="1">
      <c r="A19" s="6" t="s">
        <v>66</v>
      </c>
    </row>
    <row r="20" spans="1:1" ht="57.75" thickBot="1">
      <c r="A20" s="6" t="s">
        <v>67</v>
      </c>
    </row>
    <row r="21" spans="1:1" ht="57.75" thickBot="1">
      <c r="A21" s="6" t="s">
        <v>68</v>
      </c>
    </row>
    <row r="22" spans="1:1" ht="57.75" thickBot="1">
      <c r="A22" s="6" t="s">
        <v>69</v>
      </c>
    </row>
    <row r="23" spans="1:1" ht="43.5" thickBot="1">
      <c r="A23" s="6" t="s">
        <v>70</v>
      </c>
    </row>
    <row r="24" spans="1:1" ht="57.75" thickBot="1">
      <c r="A24" s="6" t="s">
        <v>71</v>
      </c>
    </row>
    <row r="25" spans="1:1" ht="43.5" thickBot="1">
      <c r="A25" s="6" t="s">
        <v>72</v>
      </c>
    </row>
    <row r="26" spans="1:1" ht="57.75" thickBot="1">
      <c r="A26" s="6" t="s">
        <v>73</v>
      </c>
    </row>
    <row r="27" spans="1:1" ht="43.5" thickBot="1">
      <c r="A27" s="6" t="s">
        <v>74</v>
      </c>
    </row>
    <row r="28" spans="1:1" ht="29.25" thickBot="1">
      <c r="A28" s="6" t="s">
        <v>75</v>
      </c>
    </row>
    <row r="29" spans="1:1" ht="57.75" thickBot="1">
      <c r="A29" s="6" t="s">
        <v>76</v>
      </c>
    </row>
    <row r="30" spans="1:1" ht="43.5" thickBot="1">
      <c r="A30" s="6" t="s">
        <v>77</v>
      </c>
    </row>
    <row r="31" spans="1:1" ht="43.5" thickBot="1">
      <c r="A31" s="6" t="s">
        <v>78</v>
      </c>
    </row>
    <row r="32" spans="1:1" ht="57.75" thickBot="1">
      <c r="A32" s="6" t="s">
        <v>79</v>
      </c>
    </row>
    <row r="33" spans="1:1" ht="57.75" thickBot="1">
      <c r="A33" s="6" t="s">
        <v>80</v>
      </c>
    </row>
    <row r="34" spans="1:1" ht="43.5" thickBot="1">
      <c r="A34" s="6" t="s">
        <v>81</v>
      </c>
    </row>
    <row r="35" spans="1:1" ht="43.5" thickBot="1">
      <c r="A35" s="6" t="s">
        <v>82</v>
      </c>
    </row>
    <row r="36" spans="1:1" ht="43.5" thickBot="1">
      <c r="A36" s="6" t="s">
        <v>83</v>
      </c>
    </row>
    <row r="37" spans="1:1" ht="57.75" thickBot="1">
      <c r="A37" s="6" t="s">
        <v>84</v>
      </c>
    </row>
    <row r="38" spans="1:1" ht="57.75" thickBot="1">
      <c r="A38" s="6" t="s">
        <v>85</v>
      </c>
    </row>
    <row r="39" spans="1:1" ht="43.5" thickBot="1">
      <c r="A39" s="6" t="s">
        <v>86</v>
      </c>
    </row>
    <row r="40" spans="1:1" ht="43.5" thickBot="1">
      <c r="A40" s="6" t="s">
        <v>87</v>
      </c>
    </row>
    <row r="41" spans="1:1" ht="29.25" thickBot="1">
      <c r="A41" s="6" t="s">
        <v>88</v>
      </c>
    </row>
    <row r="42" spans="1:1" ht="57.75" thickBot="1">
      <c r="A42" s="6" t="s">
        <v>89</v>
      </c>
    </row>
    <row r="43" spans="1:1" ht="43.5" thickBot="1">
      <c r="A43" s="6" t="s">
        <v>90</v>
      </c>
    </row>
    <row r="44" spans="1:1" ht="57.75" thickBot="1">
      <c r="A44" s="6" t="s">
        <v>91</v>
      </c>
    </row>
    <row r="45" spans="1:1" ht="43.5" thickBot="1">
      <c r="A45" s="6" t="s">
        <v>92</v>
      </c>
    </row>
    <row r="46" spans="1:1" ht="43.5" thickBot="1">
      <c r="A46" s="6" t="s">
        <v>93</v>
      </c>
    </row>
    <row r="47" spans="1:1" ht="57.75" thickBot="1">
      <c r="A47" s="6" t="s">
        <v>94</v>
      </c>
    </row>
    <row r="48" spans="1:1" ht="57.75" thickBot="1">
      <c r="A48" s="6" t="s">
        <v>95</v>
      </c>
    </row>
    <row r="49" spans="1:1" ht="43.5" thickBot="1">
      <c r="A49" s="6" t="s">
        <v>96</v>
      </c>
    </row>
    <row r="50" spans="1:1" ht="43.5" thickBot="1">
      <c r="A50" s="6" t="s">
        <v>97</v>
      </c>
    </row>
    <row r="51" spans="1:1" ht="43.5" thickBot="1">
      <c r="A51" s="6" t="s">
        <v>98</v>
      </c>
    </row>
    <row r="52" spans="1:1" ht="43.5" thickBot="1">
      <c r="A52" s="6" t="s">
        <v>99</v>
      </c>
    </row>
    <row r="53" spans="1:1" ht="43.5" thickBot="1">
      <c r="A53" s="6" t="s">
        <v>100</v>
      </c>
    </row>
    <row r="54" spans="1:1" ht="57.75" thickBot="1">
      <c r="A54" s="6" t="s">
        <v>101</v>
      </c>
    </row>
    <row r="55" spans="1:1" ht="29.25" thickBot="1">
      <c r="A55" s="6" t="s">
        <v>102</v>
      </c>
    </row>
    <row r="56" spans="1:1" ht="43.5" thickBot="1">
      <c r="A56" s="6" t="s">
        <v>103</v>
      </c>
    </row>
    <row r="57" spans="1:1" ht="57.75" thickBot="1">
      <c r="A57" s="6" t="s">
        <v>104</v>
      </c>
    </row>
    <row r="58" spans="1:1" ht="57.75" thickBot="1">
      <c r="A58" s="6" t="s">
        <v>105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343-8646-4B2A-A4CA-8A933E9E749A}">
  <dimension ref="A1:A18"/>
  <sheetViews>
    <sheetView workbookViewId="0">
      <selection activeCell="C2" sqref="C2"/>
    </sheetView>
  </sheetViews>
  <sheetFormatPr defaultRowHeight="15"/>
  <cols>
    <col min="1" max="1" width="102.42578125" customWidth="1"/>
  </cols>
  <sheetData>
    <row r="1" spans="1:1" ht="15.75" thickBot="1">
      <c r="A1" s="5" t="s">
        <v>106</v>
      </c>
    </row>
    <row r="2" spans="1:1" ht="157.5" thickBot="1">
      <c r="A2" s="7" t="s">
        <v>107</v>
      </c>
    </row>
    <row r="3" spans="1:1" ht="157.5" thickBot="1">
      <c r="A3" s="7" t="s">
        <v>108</v>
      </c>
    </row>
    <row r="4" spans="1:1" ht="157.5" thickBot="1">
      <c r="A4" s="7" t="s">
        <v>109</v>
      </c>
    </row>
    <row r="5" spans="1:1" ht="157.5" thickBot="1">
      <c r="A5" s="7" t="s">
        <v>110</v>
      </c>
    </row>
    <row r="6" spans="1:1" ht="157.5" thickBot="1">
      <c r="A6" s="7" t="s">
        <v>111</v>
      </c>
    </row>
    <row r="7" spans="1:1" ht="157.5" thickBot="1">
      <c r="A7" s="7" t="s">
        <v>112</v>
      </c>
    </row>
    <row r="8" spans="1:1" ht="157.5" thickBot="1">
      <c r="A8" s="7" t="s">
        <v>113</v>
      </c>
    </row>
    <row r="9" spans="1:1" ht="157.5" thickBot="1">
      <c r="A9" s="7" t="s">
        <v>114</v>
      </c>
    </row>
    <row r="10" spans="1:1" ht="157.5" thickBot="1">
      <c r="A10" s="7" t="s">
        <v>115</v>
      </c>
    </row>
    <row r="11" spans="1:1" ht="157.5" thickBot="1">
      <c r="A11" s="7" t="s">
        <v>116</v>
      </c>
    </row>
    <row r="12" spans="1:1" ht="157.5" thickBot="1">
      <c r="A12" s="7" t="s">
        <v>117</v>
      </c>
    </row>
    <row r="13" spans="1:1" ht="157.5" thickBot="1">
      <c r="A13" s="7" t="s">
        <v>118</v>
      </c>
    </row>
    <row r="14" spans="1:1" ht="157.5" thickBot="1">
      <c r="A14" s="7" t="s">
        <v>119</v>
      </c>
    </row>
    <row r="15" spans="1:1" ht="157.5" thickBot="1">
      <c r="A15" s="7" t="s">
        <v>120</v>
      </c>
    </row>
    <row r="16" spans="1:1" ht="157.5" thickBot="1">
      <c r="A16" s="7" t="s">
        <v>121</v>
      </c>
    </row>
    <row r="17" spans="1:1" ht="157.5" thickBot="1">
      <c r="A17" s="7" t="s">
        <v>122</v>
      </c>
    </row>
    <row r="18" spans="1:1" ht="157.5" thickBot="1">
      <c r="A18" s="7" t="s">
        <v>123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B83E-9C10-4DDC-AACA-D23273D8683C}">
  <dimension ref="A1:B11"/>
  <sheetViews>
    <sheetView workbookViewId="0">
      <selection activeCell="E3" sqref="E3"/>
    </sheetView>
  </sheetViews>
  <sheetFormatPr defaultRowHeight="15"/>
  <sheetData>
    <row r="1" spans="1:2" ht="30.75" thickBot="1">
      <c r="A1" s="4" t="s">
        <v>124</v>
      </c>
      <c r="B1" s="4" t="s">
        <v>125</v>
      </c>
    </row>
    <row r="2" spans="1:2" ht="43.5" thickBot="1">
      <c r="A2" s="1" t="s">
        <v>126</v>
      </c>
      <c r="B2" s="1">
        <v>14</v>
      </c>
    </row>
    <row r="3" spans="1:2" ht="29.25" thickBot="1">
      <c r="A3" s="1" t="s">
        <v>127</v>
      </c>
      <c r="B3" s="1">
        <v>14</v>
      </c>
    </row>
    <row r="4" spans="1:2" ht="29.25" thickBot="1">
      <c r="A4" s="1" t="s">
        <v>128</v>
      </c>
      <c r="B4" s="1">
        <v>14</v>
      </c>
    </row>
    <row r="5" spans="1:2" ht="43.5" thickBot="1">
      <c r="A5" s="1" t="s">
        <v>129</v>
      </c>
      <c r="B5" s="1">
        <v>11</v>
      </c>
    </row>
    <row r="6" spans="1:2" ht="43.5" thickBot="1">
      <c r="A6" s="1" t="s">
        <v>130</v>
      </c>
      <c r="B6" s="1">
        <v>10</v>
      </c>
    </row>
    <row r="7" spans="1:2" ht="43.5" thickBot="1">
      <c r="A7" s="1" t="s">
        <v>131</v>
      </c>
      <c r="B7" s="1">
        <v>10</v>
      </c>
    </row>
    <row r="8" spans="1:2" ht="29.25" thickBot="1">
      <c r="A8" s="1" t="s">
        <v>132</v>
      </c>
      <c r="B8" s="1">
        <v>10</v>
      </c>
    </row>
    <row r="9" spans="1:2" ht="15.75" thickBot="1">
      <c r="A9" s="1" t="s">
        <v>133</v>
      </c>
      <c r="B9" s="1">
        <v>9</v>
      </c>
    </row>
    <row r="10" spans="1:2" ht="29.25" thickBot="1">
      <c r="A10" s="1" t="s">
        <v>134</v>
      </c>
      <c r="B10" s="1">
        <v>8</v>
      </c>
    </row>
    <row r="11" spans="1:2" ht="57.75" thickBot="1">
      <c r="A11" s="1" t="s">
        <v>135</v>
      </c>
      <c r="B11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5F63-50C3-414D-869B-9E57641894B3}">
  <dimension ref="A1:B6"/>
  <sheetViews>
    <sheetView workbookViewId="0">
      <selection activeCell="F4" sqref="F4"/>
    </sheetView>
  </sheetViews>
  <sheetFormatPr defaultRowHeight="15"/>
  <sheetData>
    <row r="1" spans="1:2" ht="30.75" thickBot="1">
      <c r="A1" s="4" t="s">
        <v>41</v>
      </c>
      <c r="B1" s="4" t="s">
        <v>136</v>
      </c>
    </row>
    <row r="2" spans="1:2" ht="43.5" thickBot="1">
      <c r="A2" s="1" t="s">
        <v>137</v>
      </c>
      <c r="B2" s="1">
        <v>40</v>
      </c>
    </row>
    <row r="3" spans="1:2" ht="43.5" thickBot="1">
      <c r="A3" s="1" t="s">
        <v>138</v>
      </c>
      <c r="B3" s="1">
        <v>38</v>
      </c>
    </row>
    <row r="4" spans="1:2" ht="57.75" thickBot="1">
      <c r="A4" s="1" t="s">
        <v>40</v>
      </c>
      <c r="B4" s="1">
        <v>31</v>
      </c>
    </row>
    <row r="5" spans="1:2" ht="29.25" thickBot="1">
      <c r="A5" s="1" t="s">
        <v>139</v>
      </c>
      <c r="B5" s="1">
        <v>28</v>
      </c>
    </row>
    <row r="6" spans="1:2" ht="29.25" thickBot="1">
      <c r="A6" s="1" t="s">
        <v>38</v>
      </c>
      <c r="B6" s="1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AD4C-C61A-4645-847E-F80500385192}">
  <dimension ref="A1:B3"/>
  <sheetViews>
    <sheetView workbookViewId="0">
      <selection activeCell="G4" sqref="G4"/>
    </sheetView>
  </sheetViews>
  <sheetFormatPr defaultRowHeight="15"/>
  <sheetData>
    <row r="1" spans="1:2" ht="45.75" thickBot="1">
      <c r="A1" s="4" t="s">
        <v>143</v>
      </c>
      <c r="B1" s="4" t="s">
        <v>144</v>
      </c>
    </row>
    <row r="2" spans="1:2" ht="29.25" thickBot="1">
      <c r="A2" s="1" t="s">
        <v>127</v>
      </c>
      <c r="B2" s="1">
        <v>0.38461538461538403</v>
      </c>
    </row>
    <row r="3" spans="1:2" ht="43.5" thickBot="1">
      <c r="A3" s="1" t="s">
        <v>129</v>
      </c>
      <c r="B3" s="1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B905-9DBB-4D7D-876B-87BBC27FA69D}">
  <dimension ref="A1:B3"/>
  <sheetViews>
    <sheetView workbookViewId="0">
      <selection activeCell="F3" sqref="F3"/>
    </sheetView>
  </sheetViews>
  <sheetFormatPr defaultRowHeight="15"/>
  <sheetData>
    <row r="1" spans="1:2" ht="34.5">
      <c r="A1" s="2" t="s">
        <v>140</v>
      </c>
      <c r="B1" s="2" t="s">
        <v>141</v>
      </c>
    </row>
    <row r="2" spans="1:2">
      <c r="A2" s="3" t="s">
        <v>142</v>
      </c>
      <c r="B2" s="3">
        <v>70</v>
      </c>
    </row>
    <row r="3" spans="1:2">
      <c r="A3" s="3"/>
      <c r="B3" s="3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20</vt:i4>
      </vt:variant>
    </vt:vector>
  </HeadingPairs>
  <TitlesOfParts>
    <vt:vector size="20" baseType="lpstr">
      <vt:lpstr>Q1 results (Figures 11&amp;12)</vt:lpstr>
      <vt:lpstr>Figure 13 results</vt:lpstr>
      <vt:lpstr>Figures 15, 16, 17 results</vt:lpstr>
      <vt:lpstr>Figure 19 results</vt:lpstr>
      <vt:lpstr>Figure 23 results</vt:lpstr>
      <vt:lpstr>Q2 results (Figure 22)</vt:lpstr>
      <vt:lpstr>Q3 results (Figure 18)</vt:lpstr>
      <vt:lpstr>Q4 results (Figures 20 &amp; 21)</vt:lpstr>
      <vt:lpstr>Q5 results (Figure 14)</vt:lpstr>
      <vt:lpstr>Φύλλο15</vt:lpstr>
      <vt:lpstr>Q6 results</vt:lpstr>
      <vt:lpstr>Q7 results</vt:lpstr>
      <vt:lpstr>Q8 results</vt:lpstr>
      <vt:lpstr>Q9 results</vt:lpstr>
      <vt:lpstr>Q10 results</vt:lpstr>
      <vt:lpstr>Q11 results</vt:lpstr>
      <vt:lpstr>Q12 results</vt:lpstr>
      <vt:lpstr>Q13 results</vt:lpstr>
      <vt:lpstr>Q14 results</vt:lpstr>
      <vt:lpstr>Q15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Μιχάλης Μουνταντωνάκης</dc:creator>
  <cp:lastModifiedBy>Μιχάλης Μουνταντωνάκης</cp:lastModifiedBy>
  <dcterms:created xsi:type="dcterms:W3CDTF">2025-12-10T09:11:19Z</dcterms:created>
  <dcterms:modified xsi:type="dcterms:W3CDTF">2025-12-18T10:48:11Z</dcterms:modified>
</cp:coreProperties>
</file>